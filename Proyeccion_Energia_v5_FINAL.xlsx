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ndy Cabrera\Downloads\"/>
    </mc:Choice>
  </mc:AlternateContent>
  <xr:revisionPtr revIDLastSave="0" documentId="13_ncr:1_{54ECD93B-F0A8-4B3C-8A7D-DB31BCA716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yección Energía" sheetId="1" r:id="rId1"/>
    <sheet name="Datos Históricos" sheetId="2" r:id="rId2"/>
    <sheet name="Parámetros del Modelo" sheetId="3" r:id="rId3"/>
    <sheet name="Resumen Anual" sheetId="4" r:id="rId4"/>
    <sheet name="Comparativa v4 vs v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5" i="1"/>
</calcChain>
</file>

<file path=xl/sharedStrings.xml><?xml version="1.0" encoding="utf-8"?>
<sst xmlns="http://schemas.openxmlformats.org/spreadsheetml/2006/main" count="279" uniqueCount="209">
  <si>
    <t>PROYECCIÓN DE CONSUMO DE ENERGÍA — PLANTAS DE PROCESO  [v5]</t>
  </si>
  <si>
    <t>Metodología: Tendencia Anual OLS + Estacionalidad Mensual | Correcciones v5 aplicadas | Base histórica 2022–2026 | Producción LOM25 Óptimo desde abr-2026</t>
  </si>
  <si>
    <t xml:space="preserve">  Mensual 2026–2027  </t>
  </si>
  <si>
    <t xml:space="preserve">  Trimestral 2028–2029  </t>
  </si>
  <si>
    <t xml:space="preserve">  Anual 2030–2045  </t>
  </si>
  <si>
    <t>Período</t>
  </si>
  <si>
    <t>Año</t>
  </si>
  <si>
    <t>Frecuencia</t>
  </si>
  <si>
    <t>Sulfuros
TMS (t)</t>
  </si>
  <si>
    <t>Óxidos
TMS (t)</t>
  </si>
  <si>
    <t>Óxidos
TMF (tmf)</t>
  </si>
  <si>
    <t>Agua Mar
(m3)</t>
  </si>
  <si>
    <t>kWh
Sulfuros</t>
  </si>
  <si>
    <t>kWh Óxidos
sin Elec.</t>
  </si>
  <si>
    <t>kWh
Electrodep.</t>
  </si>
  <si>
    <t>kWh Óxidos
TOTAL</t>
  </si>
  <si>
    <t>kWh
Infraestruc.</t>
  </si>
  <si>
    <t>kWh
TOTAL</t>
  </si>
  <si>
    <t>GWh
Total</t>
  </si>
  <si>
    <t>Ratio
Sulf (kWh/t)</t>
  </si>
  <si>
    <t>Ratio Ox
TMS (kWh/t)</t>
  </si>
  <si>
    <t>Ratio Infra
(kWh/m3)</t>
  </si>
  <si>
    <t>26m4</t>
  </si>
  <si>
    <t>Mensual</t>
  </si>
  <si>
    <t>26m5</t>
  </si>
  <si>
    <t>26m6</t>
  </si>
  <si>
    <t>26m7</t>
  </si>
  <si>
    <t>26m8</t>
  </si>
  <si>
    <t>26m9</t>
  </si>
  <si>
    <t>26m10</t>
  </si>
  <si>
    <t>26m11</t>
  </si>
  <si>
    <t>26m12</t>
  </si>
  <si>
    <t>27m1</t>
  </si>
  <si>
    <t>27m2</t>
  </si>
  <si>
    <t>27m3</t>
  </si>
  <si>
    <t>27m4</t>
  </si>
  <si>
    <t>27m5</t>
  </si>
  <si>
    <t>27m6</t>
  </si>
  <si>
    <t>27m7</t>
  </si>
  <si>
    <t>27m8</t>
  </si>
  <si>
    <t>27m9</t>
  </si>
  <si>
    <t>27m10</t>
  </si>
  <si>
    <t>27m11</t>
  </si>
  <si>
    <t>27m12</t>
  </si>
  <si>
    <t>28q1</t>
  </si>
  <si>
    <t>Trimestral</t>
  </si>
  <si>
    <t>28q2</t>
  </si>
  <si>
    <t>28q3</t>
  </si>
  <si>
    <t>28q4</t>
  </si>
  <si>
    <t>29q1</t>
  </si>
  <si>
    <t>29q2</t>
  </si>
  <si>
    <t>29q3</t>
  </si>
  <si>
    <t>29q4</t>
  </si>
  <si>
    <t>2030.0</t>
  </si>
  <si>
    <t>Anual</t>
  </si>
  <si>
    <t>2031.0</t>
  </si>
  <si>
    <t>2032.0</t>
  </si>
  <si>
    <t>2033.0</t>
  </si>
  <si>
    <t>2034.0</t>
  </si>
  <si>
    <t>2035.0</t>
  </si>
  <si>
    <t>2036.0</t>
  </si>
  <si>
    <t>2037.0</t>
  </si>
  <si>
    <t>2038.0</t>
  </si>
  <si>
    <t>2039.0</t>
  </si>
  <si>
    <t>2040.0</t>
  </si>
  <si>
    <t>2041.0</t>
  </si>
  <si>
    <t>2042.0</t>
  </si>
  <si>
    <t>2043.0</t>
  </si>
  <si>
    <t>2044.0</t>
  </si>
  <si>
    <t>2045.0</t>
  </si>
  <si>
    <t>DATOS HISTÓRICOS DE CONSUMO ENERGÉTICO (2022–2026)</t>
  </si>
  <si>
    <t>Fecha</t>
  </si>
  <si>
    <t>Sulfuros Total
(kWh)</t>
  </si>
  <si>
    <t>Óxidos sin
Elec. (kWh)</t>
  </si>
  <si>
    <t>Electrodeposición
(kWh)</t>
  </si>
  <si>
    <t>Óxidos Total
(kWh)</t>
  </si>
  <si>
    <t>Infra Bombeo
(kWh)</t>
  </si>
  <si>
    <t>Sulf TMS (t)</t>
  </si>
  <si>
    <t>Óxidos TMS (t)</t>
  </si>
  <si>
    <t>Óxidos TMF
(tmf)</t>
  </si>
  <si>
    <t>Agua Mar (m3)</t>
  </si>
  <si>
    <t>Ratio Sulf
kWh/t TMS</t>
  </si>
  <si>
    <t>Ratio Óx TMS
kWh/t</t>
  </si>
  <si>
    <t>Ratio Electrodep.
kWh/tmf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</si>
  <si>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</si>
  <si>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</si>
  <si>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</si>
  <si>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</si>
  <si>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</si>
  <si>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</si>
  <si>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</si>
  <si>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</si>
  <si>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</si>
  <si>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</si>
  <si>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</si>
  <si>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</si>
  <si>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</si>
  <si>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</si>
  <si>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</si>
  <si>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</si>
  <si>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</si>
  <si>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</si>
  <si>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</si>
  <si>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</si>
  <si>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</si>
  <si>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</si>
  <si>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</si>
  <si>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</si>
  <si>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</si>
  <si>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</si>
  <si>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</si>
  <si>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</si>
  <si>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</si>
  <si>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</si>
  <si>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</si>
  <si>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</si>
  <si>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</si>
  <si>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</si>
  <si>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</si>
  <si>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</si>
  <si>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</si>
  <si>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</si>
  <si>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</si>
  <si>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</si>
  <si>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</si>
  <si>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</si>
  <si>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</si>
  <si>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</si>
  <si>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</si>
  <si>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</si>
  <si>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</si>
  <si>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</si>
  <si>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</si>
  <si>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</si>
  <si>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</si>
  <si>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PARÁMETROS ESTADÍSTICOS — MODELO v5 (CORRECCIONES APLICADAS)</t>
  </si>
  <si>
    <t>Área / Comp.</t>
  </si>
  <si>
    <t>Fila Excel</t>
  </si>
  <si>
    <t>Driver</t>
  </si>
  <si>
    <t>Base Histórica</t>
  </si>
  <si>
    <t>Media Base
(kWh/driver)</t>
  </si>
  <si>
    <t>Floor
(kWh/driver)</t>
  </si>
  <si>
    <t>Tend. Anual
(kWh/año)</t>
  </si>
  <si>
    <t>p-valor</t>
  </si>
  <si>
    <t>Aplica
Tendencia</t>
  </si>
  <si>
    <t>Amplitud
Estacional</t>
  </si>
  <si>
    <t>Corrección v5</t>
  </si>
  <si>
    <t>SULFUROS (total)</t>
  </si>
  <si>
    <t>Fila 3</t>
  </si>
  <si>
    <t>2024–2026 (24m)</t>
  </si>
  <si>
    <t>No (p≥0.10)</t>
  </si>
  <si>
    <t>Media últimos 24m (antes: media global 2022-26)</t>
  </si>
  <si>
    <t>ÓXIDOS (sin electrodep.)</t>
  </si>
  <si>
    <t>Fila 16</t>
  </si>
  <si>
    <t>Oxid TMS (t)</t>
  </si>
  <si>
    <t>2022–2026</t>
  </si>
  <si>
    <t>Sí</t>
  </si>
  <si>
    <t>Floor = nivel estabilizado 2025-26 (antes: mín×0.95)</t>
  </si>
  <si>
    <t>ELECTRODEPOSICIÓN</t>
  </si>
  <si>
    <t>Fila 27</t>
  </si>
  <si>
    <t>Oxid TMF (tmf)</t>
  </si>
  <si>
    <t>Sin cambio vs v4 — modelo ya era robusto</t>
  </si>
  <si>
    <t>INFRA — Est. Bombeo</t>
  </si>
  <si>
    <t>Fila 14</t>
  </si>
  <si>
    <t>2025–2026 (15m)</t>
  </si>
  <si>
    <t>No (forzado plano)</t>
  </si>
  <si>
    <t>Tendencia anual eliminada (solo 2 puntos anuales → estadística falsa)</t>
  </si>
  <si>
    <t>ÍNDICES ESTACIONALES (ratio_mes / media_global)</t>
  </si>
  <si>
    <t>Área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</si>
  <si>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</si>
  <si>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</si>
  <si>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</si>
  <si>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</si>
  <si>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</si>
  <si>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</si>
  <si>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</si>
  <si>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</si>
  <si>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</si>
  <si>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</si>
  <si>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</si>
  <si>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</si>
  <si>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NOTAS DE CORRECCIONES v5</t>
  </si>
  <si>
    <t>C1 — ÓXIDOS TMS: floor corregido de 5.21 a 5.67 kWh/t (nivel de estabilización 2025–26). La tendencia decreciente (-0.48/año, p=0.006) continúa, pero el proceso no puede operar por debajo del mínimo técnico actual observado.</t>
  </si>
  <si>
    <t>C2 — SULFUROS: media base cambiada de global (22.60, 2022–26) a últimos 24m (22.90, 2024–26). Corrección del sesgo de subestimación de -3.1% detectado en backtest ene-mar 2026.</t>
  </si>
  <si>
    <t>C3 — INFRAESTRUCTURA: tendencia anual eliminada. El OLS anual usaba solo 2 puntos (media 2025 y 2026), lo que da R²=1 matemáticamente con cualquier pendiente. A nivel mensual p=0.26 → sin tendencia real. Se usa media fija 5.878 kWh/m3.</t>
  </si>
  <si>
    <t>C4 — ELECTRODEPOSICIÓN: sin cambio. Error backtest &lt;2%, base física sólida (Ley de Faraday), sin autocorrelación en residuos (DW=1.91), CV=2.6%.</t>
  </si>
  <si>
    <t>RESUMEN ANUAL — CONSUMO ENERGÉTICO PROYECTADO [v5]</t>
  </si>
  <si>
    <t>Sulfuros
(GWh)</t>
  </si>
  <si>
    <t>Óxidos sin
Elec. (GWh)</t>
  </si>
  <si>
    <t>Electrodeposición
(GWh)</t>
  </si>
  <si>
    <t>Óxidos TOTAL
(GWh)</t>
  </si>
  <si>
    <t>Infraestructura
(GWh)</t>
  </si>
  <si>
    <t>TOTAL
(GWh)</t>
  </si>
  <si>
    <t>Sulf TMS
(Mt)</t>
  </si>
  <si>
    <t>Oxid TMS
(Mt)</t>
  </si>
  <si>
    <t>Oxid TMF
(kt)</t>
  </si>
  <si>
    <t>Δ% vs año ant.</t>
  </si>
  <si>
    <t>Ratio total
kWh/t sulf</t>
  </si>
  <si>
    <t>COMPARATIVA DE PROYECCIONES — VERSIÓN 4 vs VERSIÓN 5</t>
  </si>
  <si>
    <t>Total v4
(GWh)</t>
  </si>
  <si>
    <t>Total v5
(GWh)</t>
  </si>
  <si>
    <t>Diferencia
(GWh)</t>
  </si>
  <si>
    <t>Diferencia
(%)</t>
  </si>
  <si>
    <t>Sulf v4
(GWh)</t>
  </si>
  <si>
    <t>Sulf v5
(GWh)</t>
  </si>
  <si>
    <t>Nota</t>
  </si>
  <si>
    <t>↑ Mayor consumo proyectado</t>
  </si>
  <si>
    <t>↓ Menor consumo proyectado</t>
  </si>
  <si>
    <t>Ratio Ox-EW
TMF (kWh/t)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</si>
</sst>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#,##0.000"/>
    <numFmt numFmtId="166" formatCode="#,##0.0000"/>
    <numFmt numFmtId="167" formatCode="\+0.0000;\-0.0000"/>
    <numFmt numFmtId="168" formatCode="0.0000"/>
    <numFmt numFmtId="169" formatCode="0.0%"/>
    <numFmt numFmtId="170" formatCode="\+#,##0.000;\-#,##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F3864"/>
      <name val="Arial"/>
    </font>
    <font>
      <sz val="8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9"/>
      <color rgb="FF843C0C"/>
      <name val="Arial"/>
    </font>
    <font>
      <b/>
      <sz val="9"/>
      <color rgb="FF375623"/>
      <name val="Arial"/>
    </font>
    <font>
      <b/>
      <sz val="10"/>
      <color rgb="FF1F3864"/>
      <name val="Arial"/>
    </font>
    <font>
      <i/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2E8B57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center" vertical="center"/>
    </xf>
    <xf numFmtId="3" fontId="6" fillId="13" borderId="1" xfId="0" applyNumberFormat="1" applyFont="1" applyFill="1" applyBorder="1" applyAlignment="1">
      <alignment horizontal="right" vertical="center"/>
    </xf>
    <xf numFmtId="164" fontId="6" fillId="13" borderId="1" xfId="0" applyNumberFormat="1" applyFont="1" applyFill="1" applyBorder="1" applyAlignment="1">
      <alignment horizontal="right" vertical="center"/>
    </xf>
    <xf numFmtId="4" fontId="6" fillId="13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right" vertical="center"/>
    </xf>
    <xf numFmtId="164" fontId="6" fillId="12" borderId="1" xfId="0" applyNumberFormat="1" applyFont="1" applyFill="1" applyBorder="1" applyAlignment="1">
      <alignment horizontal="right" vertical="center"/>
    </xf>
    <xf numFmtId="4" fontId="6" fillId="12" borderId="1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right" vertical="center"/>
    </xf>
    <xf numFmtId="166" fontId="6" fillId="13" borderId="1" xfId="0" applyNumberFormat="1" applyFont="1" applyFill="1" applyBorder="1" applyAlignment="1">
      <alignment horizontal="right" vertical="center"/>
    </xf>
    <xf numFmtId="167" fontId="6" fillId="13" borderId="1" xfId="0" applyNumberFormat="1" applyFont="1" applyFill="1" applyBorder="1" applyAlignment="1">
      <alignment horizontal="right" vertical="center"/>
    </xf>
    <xf numFmtId="168" fontId="6" fillId="13" borderId="1" xfId="0" applyNumberFormat="1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7" fontId="6" fillId="6" borderId="1" xfId="0" applyNumberFormat="1" applyFont="1" applyFill="1" applyBorder="1" applyAlignment="1">
      <alignment horizontal="right" vertical="center"/>
    </xf>
    <xf numFmtId="168" fontId="6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9" fillId="13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8" fontId="6" fillId="0" borderId="1" xfId="0" applyNumberFormat="1" applyFont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9" fontId="6" fillId="6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right" vertical="center"/>
    </xf>
    <xf numFmtId="169" fontId="6" fillId="12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/>
    </xf>
    <xf numFmtId="165" fontId="6" fillId="13" borderId="1" xfId="0" applyNumberFormat="1" applyFont="1" applyFill="1" applyBorder="1" applyAlignment="1">
      <alignment horizontal="right" vertical="center"/>
    </xf>
    <xf numFmtId="169" fontId="6" fillId="13" borderId="1" xfId="0" applyNumberFormat="1" applyFont="1" applyFill="1" applyBorder="1" applyAlignment="1">
      <alignment horizontal="right" vertical="center"/>
    </xf>
    <xf numFmtId="170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170" fontId="6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10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topLeftCell="C1" workbookViewId="0">
      <pane ySplit="4" topLeftCell="A5" activePane="bottomLeft" state="frozen"/>
      <selection pane="bottomLeft" activeCell="F6" sqref="F6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12" customWidth="1"/>
    <col min="4" max="5" width="13" customWidth="1"/>
    <col min="6" max="7" width="12" customWidth="1"/>
    <col min="8" max="8" width="13" customWidth="1"/>
    <col min="9" max="9" width="14" customWidth="1"/>
    <col min="10" max="12" width="13" customWidth="1"/>
    <col min="13" max="13" width="14" customWidth="1"/>
    <col min="14" max="14" width="10" customWidth="1"/>
    <col min="15" max="16" width="12" customWidth="1"/>
    <col min="17" max="17" width="13" customWidth="1"/>
    <col min="18" max="18" width="12" customWidth="1"/>
  </cols>
  <sheetData>
    <row r="1" spans="1:18" ht="33" customHeight="1" x14ac:dyDescent="0.3">
      <c r="A1" s="63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5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13.05" customHeight="1" x14ac:dyDescent="0.3">
      <c r="B3" s="1" t="s">
        <v>2</v>
      </c>
      <c r="C3" s="2" t="s">
        <v>3</v>
      </c>
      <c r="D3" s="3" t="s">
        <v>4</v>
      </c>
    </row>
    <row r="4" spans="1:18" ht="43.95" customHeight="1" x14ac:dyDescent="0.3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6" t="s">
        <v>12</v>
      </c>
      <c r="I4" s="7" t="s">
        <v>13</v>
      </c>
      <c r="J4" s="8" t="s">
        <v>14</v>
      </c>
      <c r="K4" s="4" t="s">
        <v>15</v>
      </c>
      <c r="L4" s="9" t="s">
        <v>16</v>
      </c>
      <c r="M4" s="4" t="s">
        <v>17</v>
      </c>
      <c r="N4" s="4" t="s">
        <v>18</v>
      </c>
      <c r="O4" s="10" t="s">
        <v>19</v>
      </c>
      <c r="P4" s="10" t="s">
        <v>20</v>
      </c>
      <c r="Q4" s="10" t="s">
        <v>208</v>
      </c>
      <c r="R4" s="10" t="s">
        <v>21</v>
      </c>
    </row>
    <row r="5" spans="1:18" ht="13.95" customHeight="1" x14ac:dyDescent="0.3">
      <c r="A5" s="11" t="s">
        <v>22</v>
      </c>
      <c r="B5" s="11">
        <v>2026</v>
      </c>
      <c r="C5" s="11" t="s">
        <v>23</v>
      </c>
      <c r="D5" s="12">
        <v>500662.00001624011</v>
      </c>
      <c r="E5" s="12">
        <v>966201.59999649995</v>
      </c>
      <c r="F5" s="13">
        <v>3873.332181966362</v>
      </c>
      <c r="G5" s="12">
        <v>684008.12595668226</v>
      </c>
      <c r="H5" s="12">
        <v>11499923.23275801</v>
      </c>
      <c r="I5" s="12">
        <v>5474867.0766410837</v>
      </c>
      <c r="J5" s="12">
        <v>6813729.2093085088</v>
      </c>
      <c r="K5" s="12">
        <v>12288596.28594959</v>
      </c>
      <c r="L5" s="12">
        <v>4075552.9428206552</v>
      </c>
      <c r="M5" s="12">
        <v>27864072.46152826</v>
      </c>
      <c r="N5" s="14">
        <v>27.864072461528259</v>
      </c>
      <c r="O5" s="15">
        <v>22.96943493291878</v>
      </c>
      <c r="P5" s="15">
        <f>+I5/E5</f>
        <v>5.6663817123268236</v>
      </c>
      <c r="Q5" s="15">
        <f>+J5/E5</f>
        <v>7.0520781680895492</v>
      </c>
      <c r="R5" s="14">
        <v>5.9583399497197744</v>
      </c>
    </row>
    <row r="6" spans="1:18" ht="13.95" customHeight="1" x14ac:dyDescent="0.3">
      <c r="A6" s="11" t="s">
        <v>24</v>
      </c>
      <c r="B6" s="11">
        <v>2026</v>
      </c>
      <c r="C6" s="11" t="s">
        <v>23</v>
      </c>
      <c r="D6" s="12">
        <v>623901.00000986992</v>
      </c>
      <c r="E6" s="12">
        <v>1002964.9280181</v>
      </c>
      <c r="F6" s="13">
        <v>4011.8776925420311</v>
      </c>
      <c r="G6" s="12">
        <v>700592.80004914559</v>
      </c>
      <c r="H6" s="12">
        <v>13860142.22012645</v>
      </c>
      <c r="I6" s="12">
        <v>5683182.1262269504</v>
      </c>
      <c r="J6" s="12">
        <v>7226504.7266296791</v>
      </c>
      <c r="K6" s="12">
        <v>12909686.85285663</v>
      </c>
      <c r="L6" s="12">
        <v>4070882.6559111471</v>
      </c>
      <c r="M6" s="12">
        <v>30840711.72889423</v>
      </c>
      <c r="N6" s="14">
        <v>30.840711728894231</v>
      </c>
      <c r="O6" s="15">
        <v>22.215290919404179</v>
      </c>
      <c r="P6" s="15">
        <v>5.6663817123268228</v>
      </c>
      <c r="Q6" s="15">
        <f t="shared" ref="Q6:Q49" si="0">+J6/E6</f>
        <v>7.2051419992417385</v>
      </c>
      <c r="R6" s="14">
        <v>5.8106258808620082</v>
      </c>
    </row>
    <row r="7" spans="1:18" ht="13.95" customHeight="1" x14ac:dyDescent="0.3">
      <c r="A7" s="11" t="s">
        <v>25</v>
      </c>
      <c r="B7" s="11">
        <v>2026</v>
      </c>
      <c r="C7" s="11" t="s">
        <v>23</v>
      </c>
      <c r="D7" s="12">
        <v>604731.99818957003</v>
      </c>
      <c r="E7" s="12">
        <v>820336.00005069294</v>
      </c>
      <c r="F7" s="13">
        <v>3292.6987042520009</v>
      </c>
      <c r="G7" s="12">
        <v>685129.71938533301</v>
      </c>
      <c r="H7" s="12">
        <v>13768874.111599861</v>
      </c>
      <c r="I7" s="12">
        <v>4648336.9086505817</v>
      </c>
      <c r="J7" s="12">
        <v>5833828.7589790253</v>
      </c>
      <c r="K7" s="12">
        <v>10482165.667629611</v>
      </c>
      <c r="L7" s="12">
        <v>4022336.6243909239</v>
      </c>
      <c r="M7" s="12">
        <v>28273376.403620381</v>
      </c>
      <c r="N7" s="14">
        <v>28.273376403620389</v>
      </c>
      <c r="O7" s="15">
        <v>22.76855557969602</v>
      </c>
      <c r="P7" s="15">
        <v>5.6663817123268228</v>
      </c>
      <c r="Q7" s="15">
        <f t="shared" si="0"/>
        <v>7.1115113302579944</v>
      </c>
      <c r="R7" s="14">
        <v>5.8709124864698321</v>
      </c>
    </row>
    <row r="8" spans="1:18" ht="13.95" customHeight="1" x14ac:dyDescent="0.3">
      <c r="A8" s="11" t="s">
        <v>26</v>
      </c>
      <c r="B8" s="11">
        <v>2026</v>
      </c>
      <c r="C8" s="11" t="s">
        <v>23</v>
      </c>
      <c r="D8" s="12">
        <v>499275.00186769012</v>
      </c>
      <c r="E8" s="12">
        <v>1017962.3999518</v>
      </c>
      <c r="F8" s="13">
        <v>4098.1262715085522</v>
      </c>
      <c r="G8" s="12">
        <v>682279.31394144357</v>
      </c>
      <c r="H8" s="12">
        <v>11630961.338735349</v>
      </c>
      <c r="I8" s="12">
        <v>5768163.526923202</v>
      </c>
      <c r="J8" s="12">
        <v>7291290.8004922979</v>
      </c>
      <c r="K8" s="12">
        <v>13059454.3274155</v>
      </c>
      <c r="L8" s="12">
        <v>3995398.381296522</v>
      </c>
      <c r="M8" s="12">
        <v>28685814.047447369</v>
      </c>
      <c r="N8" s="14">
        <v>28.685814047447369</v>
      </c>
      <c r="O8" s="15">
        <v>23.295701357420651</v>
      </c>
      <c r="P8" s="15">
        <v>5.6663817123268228</v>
      </c>
      <c r="Q8" s="15">
        <f t="shared" si="0"/>
        <v>7.1626327267466232</v>
      </c>
      <c r="R8" s="14">
        <v>5.8559570833469907</v>
      </c>
    </row>
    <row r="9" spans="1:18" ht="13.95" customHeight="1" x14ac:dyDescent="0.3">
      <c r="A9" s="11" t="s">
        <v>27</v>
      </c>
      <c r="B9" s="11">
        <v>2026</v>
      </c>
      <c r="C9" s="11" t="s">
        <v>23</v>
      </c>
      <c r="D9" s="12">
        <v>600840.00000720017</v>
      </c>
      <c r="E9" s="12">
        <v>1005022.20005174</v>
      </c>
      <c r="F9" s="13">
        <v>4040.9688170856639</v>
      </c>
      <c r="G9" s="12">
        <v>707374.32391719602</v>
      </c>
      <c r="H9" s="12">
        <v>13963465.996452911</v>
      </c>
      <c r="I9" s="12">
        <v>5694839.4148556497</v>
      </c>
      <c r="J9" s="12">
        <v>7412288.0081996908</v>
      </c>
      <c r="K9" s="12">
        <v>13107127.42305534</v>
      </c>
      <c r="L9" s="12">
        <v>4133884.6678590262</v>
      </c>
      <c r="M9" s="12">
        <v>31204478.087367281</v>
      </c>
      <c r="N9" s="14">
        <v>31.204478087367281</v>
      </c>
      <c r="O9" s="15">
        <v>23.23990745670325</v>
      </c>
      <c r="P9" s="15">
        <v>5.6663817123268228</v>
      </c>
      <c r="Q9" s="15">
        <f t="shared" si="0"/>
        <v>7.3752480371260409</v>
      </c>
      <c r="R9" s="14">
        <v>5.843984617602449</v>
      </c>
    </row>
    <row r="10" spans="1:18" ht="13.95" customHeight="1" x14ac:dyDescent="0.3">
      <c r="A10" s="11" t="s">
        <v>28</v>
      </c>
      <c r="B10" s="11">
        <v>2026</v>
      </c>
      <c r="C10" s="11" t="s">
        <v>23</v>
      </c>
      <c r="D10" s="12">
        <v>584652.0000311</v>
      </c>
      <c r="E10" s="12">
        <v>817555.20002941007</v>
      </c>
      <c r="F10" s="13">
        <v>3093.1577404368049</v>
      </c>
      <c r="G10" s="12">
        <v>656173.12076998327</v>
      </c>
      <c r="H10" s="12">
        <v>13722105.99554475</v>
      </c>
      <c r="I10" s="12">
        <v>4632579.8342643464</v>
      </c>
      <c r="J10" s="12">
        <v>5490293.5708054099</v>
      </c>
      <c r="K10" s="12">
        <v>10122873.405069759</v>
      </c>
      <c r="L10" s="12">
        <v>3865371.143229458</v>
      </c>
      <c r="M10" s="12">
        <v>27710350.54384397</v>
      </c>
      <c r="N10" s="14">
        <v>27.710350543843969</v>
      </c>
      <c r="O10" s="15">
        <v>23.470553414364129</v>
      </c>
      <c r="P10" s="15">
        <v>5.6663817123268228</v>
      </c>
      <c r="Q10" s="15">
        <f t="shared" si="0"/>
        <v>6.7155019876430444</v>
      </c>
      <c r="R10" s="14">
        <v>5.8907794618189433</v>
      </c>
    </row>
    <row r="11" spans="1:18" ht="13.95" customHeight="1" x14ac:dyDescent="0.3">
      <c r="A11" s="11" t="s">
        <v>29</v>
      </c>
      <c r="B11" s="11">
        <v>2026</v>
      </c>
      <c r="C11" s="11" t="s">
        <v>23</v>
      </c>
      <c r="D11" s="12">
        <v>558751.99997641006</v>
      </c>
      <c r="E11" s="12">
        <v>1017962.4000162</v>
      </c>
      <c r="F11" s="13">
        <v>4108.7519721490589</v>
      </c>
      <c r="G11" s="12">
        <v>652335.3829161207</v>
      </c>
      <c r="H11" s="12">
        <v>13083454.20626238</v>
      </c>
      <c r="I11" s="12">
        <v>5768163.5272881174</v>
      </c>
      <c r="J11" s="12">
        <v>7092334.1269487832</v>
      </c>
      <c r="K11" s="12">
        <v>12860497.6542369</v>
      </c>
      <c r="L11" s="12">
        <v>3738852.1487055072</v>
      </c>
      <c r="M11" s="12">
        <v>29682804.00920479</v>
      </c>
      <c r="N11" s="14">
        <v>29.682804009204791</v>
      </c>
      <c r="O11" s="15">
        <v>23.415494184924182</v>
      </c>
      <c r="P11" s="15">
        <v>5.6663817123268228</v>
      </c>
      <c r="Q11" s="15">
        <f t="shared" si="0"/>
        <v>6.9671867318831371</v>
      </c>
      <c r="R11" s="14">
        <v>5.7314875854070602</v>
      </c>
    </row>
    <row r="12" spans="1:18" ht="13.95" customHeight="1" x14ac:dyDescent="0.3">
      <c r="A12" s="11" t="s">
        <v>30</v>
      </c>
      <c r="B12" s="11">
        <v>2026</v>
      </c>
      <c r="C12" s="11" t="s">
        <v>23</v>
      </c>
      <c r="D12" s="12">
        <v>592700.99998729979</v>
      </c>
      <c r="E12" s="12">
        <v>959012.60001895984</v>
      </c>
      <c r="F12" s="13">
        <v>3876.4352086105901</v>
      </c>
      <c r="G12" s="12">
        <v>680724.82153969281</v>
      </c>
      <c r="H12" s="12">
        <v>13627657.34996918</v>
      </c>
      <c r="I12" s="12">
        <v>5434131.4586384324</v>
      </c>
      <c r="J12" s="12">
        <v>6858689.4452564558</v>
      </c>
      <c r="K12" s="12">
        <v>12292820.90389489</v>
      </c>
      <c r="L12" s="12">
        <v>4008937.06110794</v>
      </c>
      <c r="M12" s="12">
        <v>29929415.31497201</v>
      </c>
      <c r="N12" s="14">
        <v>29.929415314972012</v>
      </c>
      <c r="O12" s="15">
        <v>22.992465594391089</v>
      </c>
      <c r="P12" s="15">
        <v>5.6663817123268228</v>
      </c>
      <c r="Q12" s="15">
        <f t="shared" si="0"/>
        <v>7.151824121102119</v>
      </c>
      <c r="R12" s="14">
        <v>5.8892182777180846</v>
      </c>
    </row>
    <row r="13" spans="1:18" ht="13.95" customHeight="1" x14ac:dyDescent="0.3">
      <c r="A13" s="11" t="s">
        <v>31</v>
      </c>
      <c r="B13" s="11">
        <v>2026</v>
      </c>
      <c r="C13" s="11" t="s">
        <v>23</v>
      </c>
      <c r="D13" s="12">
        <v>618409.99997301202</v>
      </c>
      <c r="E13" s="12">
        <v>924901.1200275002</v>
      </c>
      <c r="F13" s="13">
        <v>3748.6417648946958</v>
      </c>
      <c r="G13" s="12">
        <v>686559.23645462526</v>
      </c>
      <c r="H13" s="12">
        <v>13877257.135684781</v>
      </c>
      <c r="I13" s="12">
        <v>5240842.7922344226</v>
      </c>
      <c r="J13" s="12">
        <v>6620478.7842687424</v>
      </c>
      <c r="K13" s="12">
        <v>11861321.576503171</v>
      </c>
      <c r="L13" s="12">
        <v>4089835.453241861</v>
      </c>
      <c r="M13" s="12">
        <v>29828414.165429808</v>
      </c>
      <c r="N13" s="14">
        <v>29.828414165429809</v>
      </c>
      <c r="O13" s="15">
        <v>22.4402211094426</v>
      </c>
      <c r="P13" s="15">
        <v>5.6663817123268228</v>
      </c>
      <c r="Q13" s="15">
        <f t="shared" si="0"/>
        <v>7.1580395362391762</v>
      </c>
      <c r="R13" s="14">
        <v>5.9570030320496006</v>
      </c>
    </row>
    <row r="14" spans="1:18" ht="13.95" customHeight="1" x14ac:dyDescent="0.3">
      <c r="A14" s="11" t="s">
        <v>32</v>
      </c>
      <c r="B14" s="11">
        <v>2027</v>
      </c>
      <c r="C14" s="11" t="s">
        <v>23</v>
      </c>
      <c r="D14" s="12">
        <v>560792.17309615063</v>
      </c>
      <c r="E14" s="12">
        <v>966958.20003421151</v>
      </c>
      <c r="F14" s="13">
        <v>3944.8363756710542</v>
      </c>
      <c r="G14" s="12">
        <v>663192.30295205675</v>
      </c>
      <c r="H14" s="12">
        <v>12738907.965881869</v>
      </c>
      <c r="I14" s="12">
        <v>5479154.2612583181</v>
      </c>
      <c r="J14" s="12">
        <v>7010652.7676915787</v>
      </c>
      <c r="K14" s="12">
        <v>12489807.0289499</v>
      </c>
      <c r="L14" s="12">
        <v>3846989.7216109419</v>
      </c>
      <c r="M14" s="12">
        <v>29075704.716442712</v>
      </c>
      <c r="N14" s="14">
        <v>29.075704716442711</v>
      </c>
      <c r="O14" s="15">
        <v>22.715916121920841</v>
      </c>
      <c r="P14" s="15">
        <v>5.6663817123268228</v>
      </c>
      <c r="Q14" s="15">
        <f t="shared" si="0"/>
        <v>7.2502128504040178</v>
      </c>
      <c r="R14" s="14">
        <v>5.8007152744187493</v>
      </c>
    </row>
    <row r="15" spans="1:18" ht="13.95" customHeight="1" x14ac:dyDescent="0.3">
      <c r="A15" s="11" t="s">
        <v>33</v>
      </c>
      <c r="B15" s="11">
        <v>2027</v>
      </c>
      <c r="C15" s="11" t="s">
        <v>23</v>
      </c>
      <c r="D15" s="12">
        <v>506521.96279652312</v>
      </c>
      <c r="E15" s="12">
        <v>873381.60003090068</v>
      </c>
      <c r="F15" s="13">
        <v>3563.078016735145</v>
      </c>
      <c r="G15" s="12">
        <v>599012.40266637388</v>
      </c>
      <c r="H15" s="12">
        <v>11524044.3640306</v>
      </c>
      <c r="I15" s="12">
        <v>4948913.5262978356</v>
      </c>
      <c r="J15" s="12">
        <v>6308712.1295749759</v>
      </c>
      <c r="K15" s="12">
        <v>11257625.655872811</v>
      </c>
      <c r="L15" s="12">
        <v>3549851.7092585498</v>
      </c>
      <c r="M15" s="12">
        <v>26331521.729161959</v>
      </c>
      <c r="N15" s="14">
        <v>26.33152172916196</v>
      </c>
      <c r="O15" s="15">
        <v>22.751322174473941</v>
      </c>
      <c r="P15" s="15">
        <v>5.6663817123268228</v>
      </c>
      <c r="Q15" s="15">
        <f t="shared" si="0"/>
        <v>7.2233169663200716</v>
      </c>
      <c r="R15" s="14">
        <v>5.9261739714522683</v>
      </c>
    </row>
    <row r="16" spans="1:18" ht="13.95" customHeight="1" x14ac:dyDescent="0.3">
      <c r="A16" s="11" t="s">
        <v>34</v>
      </c>
      <c r="B16" s="11">
        <v>2027</v>
      </c>
      <c r="C16" s="11" t="s">
        <v>23</v>
      </c>
      <c r="D16" s="12">
        <v>560792.17309615063</v>
      </c>
      <c r="E16" s="12">
        <v>966958.20003421151</v>
      </c>
      <c r="F16" s="13">
        <v>3944.8363756710542</v>
      </c>
      <c r="G16" s="12">
        <v>663192.30295205675</v>
      </c>
      <c r="H16" s="12">
        <v>12634220.420867991</v>
      </c>
      <c r="I16" s="12">
        <v>5479154.2612583181</v>
      </c>
      <c r="J16" s="12">
        <v>6931020.3255184852</v>
      </c>
      <c r="K16" s="12">
        <v>12410174.5867768</v>
      </c>
      <c r="L16" s="12">
        <v>3979665.8080246262</v>
      </c>
      <c r="M16" s="12">
        <v>29024060.815669421</v>
      </c>
      <c r="N16" s="14">
        <v>29.024060815669429</v>
      </c>
      <c r="O16" s="15">
        <v>22.529238150942941</v>
      </c>
      <c r="P16" s="15">
        <v>5.6663817123268228</v>
      </c>
      <c r="Q16" s="15">
        <f t="shared" si="0"/>
        <v>7.1678592986473069</v>
      </c>
      <c r="R16" s="14">
        <v>6.0007720088276164</v>
      </c>
    </row>
    <row r="17" spans="1:18" ht="13.95" customHeight="1" x14ac:dyDescent="0.3">
      <c r="A17" s="11" t="s">
        <v>35</v>
      </c>
      <c r="B17" s="11">
        <v>2027</v>
      </c>
      <c r="C17" s="11" t="s">
        <v>23</v>
      </c>
      <c r="D17" s="12">
        <v>569139.3323002141</v>
      </c>
      <c r="E17" s="12">
        <v>952266.85703667707</v>
      </c>
      <c r="F17" s="13">
        <v>3911.4560273264692</v>
      </c>
      <c r="G17" s="12">
        <v>671259.26147228945</v>
      </c>
      <c r="H17" s="12">
        <v>13072808.861034609</v>
      </c>
      <c r="I17" s="12">
        <v>5395907.5039675683</v>
      </c>
      <c r="J17" s="12">
        <v>6880794.3476694133</v>
      </c>
      <c r="K17" s="12">
        <v>12276701.85163698</v>
      </c>
      <c r="L17" s="12">
        <v>3999590.874249734</v>
      </c>
      <c r="M17" s="12">
        <v>29349101.586921319</v>
      </c>
      <c r="N17" s="14">
        <v>29.349101586921321</v>
      </c>
      <c r="O17" s="15">
        <v>22.96943493291878</v>
      </c>
      <c r="P17" s="15">
        <v>5.6663817123268228</v>
      </c>
      <c r="Q17" s="15">
        <f t="shared" si="0"/>
        <v>7.225699704683092</v>
      </c>
      <c r="R17" s="14">
        <v>5.9583399497197744</v>
      </c>
    </row>
    <row r="18" spans="1:18" ht="13.95" customHeight="1" x14ac:dyDescent="0.3">
      <c r="A18" s="11" t="s">
        <v>36</v>
      </c>
      <c r="B18" s="11">
        <v>2027</v>
      </c>
      <c r="C18" s="11" t="s">
        <v>23</v>
      </c>
      <c r="D18" s="12">
        <v>588110.64337688789</v>
      </c>
      <c r="E18" s="12">
        <v>984009.08560456627</v>
      </c>
      <c r="F18" s="13">
        <v>4041.837894904018</v>
      </c>
      <c r="G18" s="12">
        <v>693634.57018803235</v>
      </c>
      <c r="H18" s="12">
        <v>13065049.03541553</v>
      </c>
      <c r="I18" s="12">
        <v>5575771.0874331538</v>
      </c>
      <c r="J18" s="12">
        <v>7280471.3628464714</v>
      </c>
      <c r="K18" s="12">
        <v>12856242.450279631</v>
      </c>
      <c r="L18" s="12">
        <v>4030450.9853951759</v>
      </c>
      <c r="M18" s="12">
        <v>29951742.471090332</v>
      </c>
      <c r="N18" s="14">
        <v>29.951742471090331</v>
      </c>
      <c r="O18" s="15">
        <v>22.215290919404179</v>
      </c>
      <c r="P18" s="15">
        <v>5.6663817123268228</v>
      </c>
      <c r="Q18" s="15">
        <f t="shared" si="0"/>
        <v>7.3987846955431467</v>
      </c>
      <c r="R18" s="14">
        <v>5.8106258808620082</v>
      </c>
    </row>
    <row r="19" spans="1:18" ht="13.95" customHeight="1" x14ac:dyDescent="0.3">
      <c r="A19" s="11" t="s">
        <v>37</v>
      </c>
      <c r="B19" s="11">
        <v>2027</v>
      </c>
      <c r="C19" s="11" t="s">
        <v>23</v>
      </c>
      <c r="D19" s="12">
        <v>569139.3323002141</v>
      </c>
      <c r="E19" s="12">
        <v>952266.85703667707</v>
      </c>
      <c r="F19" s="13">
        <v>3911.4560273264692</v>
      </c>
      <c r="G19" s="12">
        <v>671259.26147228945</v>
      </c>
      <c r="H19" s="12">
        <v>12958480.52006851</v>
      </c>
      <c r="I19" s="12">
        <v>5395907.5039675683</v>
      </c>
      <c r="J19" s="12">
        <v>6930110.1349577373</v>
      </c>
      <c r="K19" s="12">
        <v>12326017.63892531</v>
      </c>
      <c r="L19" s="12">
        <v>3940904.3798361821</v>
      </c>
      <c r="M19" s="12">
        <v>29225402.53882999</v>
      </c>
      <c r="N19" s="14">
        <v>29.225402538829989</v>
      </c>
      <c r="O19" s="15">
        <v>22.76855557969602</v>
      </c>
      <c r="P19" s="15">
        <v>5.6663817123268228</v>
      </c>
      <c r="Q19" s="15">
        <f t="shared" si="0"/>
        <v>7.2774874855177494</v>
      </c>
      <c r="R19" s="14">
        <v>5.8709124864698321</v>
      </c>
    </row>
    <row r="20" spans="1:18" ht="13.95" customHeight="1" x14ac:dyDescent="0.3">
      <c r="A20" s="11" t="s">
        <v>38</v>
      </c>
      <c r="B20" s="11">
        <v>2027</v>
      </c>
      <c r="C20" s="11" t="s">
        <v>23</v>
      </c>
      <c r="D20" s="12">
        <v>610802.59910830378</v>
      </c>
      <c r="E20" s="12">
        <v>985045.89129295887</v>
      </c>
      <c r="F20" s="13">
        <v>3891.8037771128711</v>
      </c>
      <c r="G20" s="12">
        <v>701800.40688477992</v>
      </c>
      <c r="H20" s="12">
        <v>14229074.937163381</v>
      </c>
      <c r="I20" s="12">
        <v>5581646.0242250971</v>
      </c>
      <c r="J20" s="12">
        <v>6924206.6245408123</v>
      </c>
      <c r="K20" s="12">
        <v>12505852.64876591</v>
      </c>
      <c r="L20" s="12">
        <v>4109713.063792727</v>
      </c>
      <c r="M20" s="12">
        <v>30844640.64972201</v>
      </c>
      <c r="N20" s="14">
        <v>30.84464064972201</v>
      </c>
      <c r="O20" s="15">
        <v>23.295701357420651</v>
      </c>
      <c r="P20" s="15">
        <v>5.6663817123268228</v>
      </c>
      <c r="Q20" s="15">
        <f t="shared" si="0"/>
        <v>7.0293238982522794</v>
      </c>
      <c r="R20" s="14">
        <v>5.8559570833469907</v>
      </c>
    </row>
    <row r="21" spans="1:18" ht="13.95" customHeight="1" x14ac:dyDescent="0.3">
      <c r="A21" s="11" t="s">
        <v>39</v>
      </c>
      <c r="B21" s="11">
        <v>2027</v>
      </c>
      <c r="C21" s="11" t="s">
        <v>23</v>
      </c>
      <c r="D21" s="12">
        <v>610802.59910830378</v>
      </c>
      <c r="E21" s="12">
        <v>985045.89129295887</v>
      </c>
      <c r="F21" s="13">
        <v>3891.8037771128711</v>
      </c>
      <c r="G21" s="12">
        <v>701800.40688477992</v>
      </c>
      <c r="H21" s="12">
        <v>14194995.8775908</v>
      </c>
      <c r="I21" s="12">
        <v>5581646.0242250971</v>
      </c>
      <c r="J21" s="12">
        <v>7138676.8305142485</v>
      </c>
      <c r="K21" s="12">
        <v>12720322.854739349</v>
      </c>
      <c r="L21" s="12">
        <v>4101310.7824617941</v>
      </c>
      <c r="M21" s="12">
        <v>31016629.514791939</v>
      </c>
      <c r="N21" s="14">
        <v>31.016629514791941</v>
      </c>
      <c r="O21" s="15">
        <v>23.23990745670325</v>
      </c>
      <c r="P21" s="15">
        <v>5.6663817123268228</v>
      </c>
      <c r="Q21" s="15">
        <f t="shared" si="0"/>
        <v>7.2470500040806334</v>
      </c>
      <c r="R21" s="14">
        <v>5.843984617602449</v>
      </c>
    </row>
    <row r="22" spans="1:18" ht="13.95" customHeight="1" x14ac:dyDescent="0.3">
      <c r="A22" s="11" t="s">
        <v>40</v>
      </c>
      <c r="B22" s="11">
        <v>2027</v>
      </c>
      <c r="C22" s="11" t="s">
        <v>23</v>
      </c>
      <c r="D22" s="12">
        <v>610802.59910830378</v>
      </c>
      <c r="E22" s="12">
        <v>985045.89129295887</v>
      </c>
      <c r="F22" s="13">
        <v>3891.8037771128711</v>
      </c>
      <c r="G22" s="12">
        <v>679161.6840820451</v>
      </c>
      <c r="H22" s="12">
        <v>14335875.028003881</v>
      </c>
      <c r="I22" s="12">
        <v>5581646.0242250971</v>
      </c>
      <c r="J22" s="12">
        <v>6907874.4278012821</v>
      </c>
      <c r="K22" s="12">
        <v>12489520.45202638</v>
      </c>
      <c r="L22" s="12">
        <v>4000791.6998448768</v>
      </c>
      <c r="M22" s="12">
        <v>30826187.179875139</v>
      </c>
      <c r="N22" s="14">
        <v>30.826187179875141</v>
      </c>
      <c r="O22" s="15">
        <v>23.470553414364129</v>
      </c>
      <c r="P22" s="15">
        <v>5.6663817123268228</v>
      </c>
      <c r="Q22" s="15">
        <f t="shared" si="0"/>
        <v>7.0127437603278491</v>
      </c>
      <c r="R22" s="14">
        <v>5.8907794618189433</v>
      </c>
    </row>
    <row r="23" spans="1:18" ht="13.95" customHeight="1" x14ac:dyDescent="0.3">
      <c r="A23" s="11" t="s">
        <v>41</v>
      </c>
      <c r="B23" s="11">
        <v>2027</v>
      </c>
      <c r="C23" s="11" t="s">
        <v>23</v>
      </c>
      <c r="D23" s="12">
        <v>591099.28945964877</v>
      </c>
      <c r="E23" s="12">
        <v>953270.21738028282</v>
      </c>
      <c r="F23" s="13">
        <v>3766.2617197866489</v>
      </c>
      <c r="G23" s="12">
        <v>662273.78291820374</v>
      </c>
      <c r="H23" s="12">
        <v>13840881.97505522</v>
      </c>
      <c r="I23" s="12">
        <v>5401592.9266694495</v>
      </c>
      <c r="J23" s="12">
        <v>6501143.5850415481</v>
      </c>
      <c r="K23" s="12">
        <v>11902736.511711</v>
      </c>
      <c r="L23" s="12">
        <v>3795813.964936255</v>
      </c>
      <c r="M23" s="12">
        <v>29539432.451702479</v>
      </c>
      <c r="N23" s="14">
        <v>29.539432451702471</v>
      </c>
      <c r="O23" s="15">
        <v>23.415494184924182</v>
      </c>
      <c r="P23" s="15">
        <v>5.6663817123268228</v>
      </c>
      <c r="Q23" s="15">
        <f t="shared" si="0"/>
        <v>6.8198328936653256</v>
      </c>
      <c r="R23" s="14">
        <v>5.7314875854070602</v>
      </c>
    </row>
    <row r="24" spans="1:18" ht="13.95" customHeight="1" x14ac:dyDescent="0.3">
      <c r="A24" s="11" t="s">
        <v>42</v>
      </c>
      <c r="B24" s="11">
        <v>2027</v>
      </c>
      <c r="C24" s="11" t="s">
        <v>23</v>
      </c>
      <c r="D24" s="12">
        <v>568251.36439156707</v>
      </c>
      <c r="E24" s="12">
        <v>971265.71748251189</v>
      </c>
      <c r="F24" s="13">
        <v>3453.3434542960108</v>
      </c>
      <c r="G24" s="12">
        <v>640910.11250148749</v>
      </c>
      <c r="H24" s="12">
        <v>13065499.9447389</v>
      </c>
      <c r="I24" s="12">
        <v>5503562.2993528945</v>
      </c>
      <c r="J24" s="12">
        <v>6110100.9113254221</v>
      </c>
      <c r="K24" s="12">
        <v>11613663.21067832</v>
      </c>
      <c r="L24" s="12">
        <v>3774459.548918114</v>
      </c>
      <c r="M24" s="12">
        <v>28453622.704335328</v>
      </c>
      <c r="N24" s="14">
        <v>28.453622704335331</v>
      </c>
      <c r="O24" s="15">
        <v>22.992465594391089</v>
      </c>
      <c r="P24" s="15">
        <v>5.6663817123268228</v>
      </c>
      <c r="Q24" s="15">
        <f t="shared" si="0"/>
        <v>6.2908643858681623</v>
      </c>
      <c r="R24" s="14">
        <v>5.8892182777180846</v>
      </c>
    </row>
    <row r="25" spans="1:18" ht="13.95" customHeight="1" x14ac:dyDescent="0.3">
      <c r="A25" s="11" t="s">
        <v>43</v>
      </c>
      <c r="B25" s="11">
        <v>2027</v>
      </c>
      <c r="C25" s="11" t="s">
        <v>23</v>
      </c>
      <c r="D25" s="12">
        <v>549920.67521764559</v>
      </c>
      <c r="E25" s="12">
        <v>939934.56530565664</v>
      </c>
      <c r="F25" s="13">
        <v>3341.9452783509792</v>
      </c>
      <c r="G25" s="12">
        <v>662273.78291820374</v>
      </c>
      <c r="H25" s="12">
        <v>12340341.544537939</v>
      </c>
      <c r="I25" s="12">
        <v>5326028.0316318348</v>
      </c>
      <c r="J25" s="12">
        <v>5902211.8412884083</v>
      </c>
      <c r="K25" s="12">
        <v>11228239.872920239</v>
      </c>
      <c r="L25" s="12">
        <v>3945166.9328906988</v>
      </c>
      <c r="M25" s="12">
        <v>27513748.350348879</v>
      </c>
      <c r="N25" s="14">
        <v>27.51374835034888</v>
      </c>
      <c r="O25" s="15">
        <v>22.4402211094426</v>
      </c>
      <c r="P25" s="15">
        <v>5.6663817123268228</v>
      </c>
      <c r="Q25" s="15">
        <f t="shared" si="0"/>
        <v>6.2793858840259507</v>
      </c>
      <c r="R25" s="14">
        <v>5.9570030320496006</v>
      </c>
    </row>
    <row r="26" spans="1:18" ht="13.95" customHeight="1" x14ac:dyDescent="0.3">
      <c r="A26" s="16" t="s">
        <v>44</v>
      </c>
      <c r="B26" s="16">
        <v>2028</v>
      </c>
      <c r="C26" s="16" t="s">
        <v>45</v>
      </c>
      <c r="D26" s="12">
        <v>2334396.2794441781</v>
      </c>
      <c r="E26" s="12">
        <v>3912294.7174505829</v>
      </c>
      <c r="F26" s="13">
        <v>12363.309041002511</v>
      </c>
      <c r="G26" s="12">
        <v>1481894.205856347</v>
      </c>
      <c r="H26" s="12">
        <v>52910240.544659607</v>
      </c>
      <c r="I26" s="12">
        <v>22168555.240194809</v>
      </c>
      <c r="J26" s="12">
        <v>21861366.785235781</v>
      </c>
      <c r="K26" s="12">
        <v>44029922.02543059</v>
      </c>
      <c r="L26" s="12">
        <v>8756839.4989073165</v>
      </c>
      <c r="M26" s="12">
        <v>105697002.0689975</v>
      </c>
      <c r="N26" s="14">
        <v>105.69700206899751</v>
      </c>
      <c r="O26" s="15">
        <v>22.66549214911257</v>
      </c>
      <c r="P26" s="15">
        <v>5.6663817123268219</v>
      </c>
      <c r="Q26" s="15">
        <f t="shared" si="0"/>
        <v>5.5878629714996455</v>
      </c>
      <c r="R26" s="14">
        <v>5.9092204182328771</v>
      </c>
    </row>
    <row r="27" spans="1:18" ht="13.95" customHeight="1" x14ac:dyDescent="0.3">
      <c r="A27" s="16" t="s">
        <v>46</v>
      </c>
      <c r="B27" s="16">
        <v>2028</v>
      </c>
      <c r="C27" s="16" t="s">
        <v>45</v>
      </c>
      <c r="D27" s="12">
        <v>1755975.7639798</v>
      </c>
      <c r="E27" s="12">
        <v>2893854.599993919</v>
      </c>
      <c r="F27" s="13">
        <v>10391.73885532778</v>
      </c>
      <c r="G27" s="12">
        <v>1482984.872939012</v>
      </c>
      <c r="H27" s="12">
        <v>39774771.759174623</v>
      </c>
      <c r="I27" s="12">
        <v>16397684.78353839</v>
      </c>
      <c r="J27" s="12">
        <v>18470149.207733098</v>
      </c>
      <c r="K27" s="12">
        <v>34867833.991271503</v>
      </c>
      <c r="L27" s="12">
        <v>8719890.9015574772</v>
      </c>
      <c r="M27" s="12">
        <v>83362496.652003586</v>
      </c>
      <c r="N27" s="14">
        <v>83.362496652003585</v>
      </c>
      <c r="O27" s="15">
        <v>22.65109381067299</v>
      </c>
      <c r="P27" s="15">
        <v>5.6663817123268219</v>
      </c>
      <c r="Q27" s="15">
        <f t="shared" si="0"/>
        <v>6.3825422354571337</v>
      </c>
      <c r="R27" s="14">
        <v>5.8799594390172052</v>
      </c>
    </row>
    <row r="28" spans="1:18" ht="13.95" customHeight="1" x14ac:dyDescent="0.3">
      <c r="A28" s="16" t="s">
        <v>47</v>
      </c>
      <c r="B28" s="16">
        <v>2028</v>
      </c>
      <c r="C28" s="16" t="s">
        <v>45</v>
      </c>
      <c r="D28" s="12">
        <v>1709865.9339706569</v>
      </c>
      <c r="E28" s="12">
        <v>2976983.0999608012</v>
      </c>
      <c r="F28" s="13">
        <v>11970.445303765289</v>
      </c>
      <c r="G28" s="12">
        <v>1476390.564834794</v>
      </c>
      <c r="H28" s="12">
        <v>39900383.987504996</v>
      </c>
      <c r="I28" s="12">
        <v>16868722.59552389</v>
      </c>
      <c r="J28" s="12">
        <v>21500682.339253869</v>
      </c>
      <c r="K28" s="12">
        <v>38369404.934777766</v>
      </c>
      <c r="L28" s="12">
        <v>8656924.9177836552</v>
      </c>
      <c r="M28" s="12">
        <v>86926713.840066403</v>
      </c>
      <c r="N28" s="14">
        <v>86.926713840066398</v>
      </c>
      <c r="O28" s="15">
        <v>23.335387409496011</v>
      </c>
      <c r="P28" s="15">
        <v>5.6663817123268219</v>
      </c>
      <c r="Q28" s="15">
        <f t="shared" si="0"/>
        <v>7.2223058100454027</v>
      </c>
      <c r="R28" s="14">
        <v>5.8635737209227941</v>
      </c>
    </row>
    <row r="29" spans="1:18" ht="13.95" customHeight="1" x14ac:dyDescent="0.3">
      <c r="A29" s="16" t="s">
        <v>48</v>
      </c>
      <c r="B29" s="16">
        <v>2028</v>
      </c>
      <c r="C29" s="16" t="s">
        <v>45</v>
      </c>
      <c r="D29" s="12">
        <v>1772918.6563884779</v>
      </c>
      <c r="E29" s="12">
        <v>2923338.6000832408</v>
      </c>
      <c r="F29" s="13">
        <v>12552.65256488896</v>
      </c>
      <c r="G29" s="12">
        <v>1645312.741232058</v>
      </c>
      <c r="H29" s="12">
        <v>40687408.118695818</v>
      </c>
      <c r="I29" s="12">
        <v>16564752.382450771</v>
      </c>
      <c r="J29" s="12">
        <v>22015606.264383931</v>
      </c>
      <c r="K29" s="12">
        <v>38580358.646834701</v>
      </c>
      <c r="L29" s="12">
        <v>9640276.1356330328</v>
      </c>
      <c r="M29" s="12">
        <v>88908042.901163563</v>
      </c>
      <c r="N29" s="14">
        <v>88.908042901163569</v>
      </c>
      <c r="O29" s="15">
        <v>22.949393629585959</v>
      </c>
      <c r="P29" s="15">
        <v>5.6663817123268219</v>
      </c>
      <c r="Q29" s="15">
        <f t="shared" si="0"/>
        <v>7.5309805931331546</v>
      </c>
      <c r="R29" s="14">
        <v>5.8592362983915818</v>
      </c>
    </row>
    <row r="30" spans="1:18" ht="13.95" customHeight="1" x14ac:dyDescent="0.3">
      <c r="A30" s="16" t="s">
        <v>49</v>
      </c>
      <c r="B30" s="16">
        <v>2029</v>
      </c>
      <c r="C30" s="16" t="s">
        <v>45</v>
      </c>
      <c r="D30" s="12">
        <v>1727055.612983315</v>
      </c>
      <c r="E30" s="12">
        <v>2980456.3231922542</v>
      </c>
      <c r="F30" s="13">
        <v>9919.0540110685652</v>
      </c>
      <c r="G30" s="12">
        <v>1775818.668292053</v>
      </c>
      <c r="H30" s="12">
        <v>39144565.437154129</v>
      </c>
      <c r="I30" s="12">
        <v>16888403.20412543</v>
      </c>
      <c r="J30" s="12">
        <v>17539323.58880439</v>
      </c>
      <c r="K30" s="12">
        <v>34427726.792929828</v>
      </c>
      <c r="L30" s="12">
        <v>10493703.93375051</v>
      </c>
      <c r="M30" s="12">
        <v>84065996.163834468</v>
      </c>
      <c r="N30" s="14">
        <v>84.06599616383447</v>
      </c>
      <c r="O30" s="15">
        <v>22.66549214911257</v>
      </c>
      <c r="P30" s="15">
        <v>5.6663817123268219</v>
      </c>
      <c r="Q30" s="15">
        <f t="shared" si="0"/>
        <v>5.8847779289107933</v>
      </c>
      <c r="R30" s="14">
        <v>5.9092204182328771</v>
      </c>
    </row>
    <row r="31" spans="1:18" ht="13.95" customHeight="1" x14ac:dyDescent="0.3">
      <c r="A31" s="16" t="s">
        <v>50</v>
      </c>
      <c r="B31" s="16">
        <v>2029</v>
      </c>
      <c r="C31" s="16" t="s">
        <v>45</v>
      </c>
      <c r="D31" s="12">
        <v>1746245.1197942409</v>
      </c>
      <c r="E31" s="12">
        <v>3013572.5045610559</v>
      </c>
      <c r="F31" s="13">
        <v>10029.26572230266</v>
      </c>
      <c r="G31" s="12">
        <v>1795549.986828631</v>
      </c>
      <c r="H31" s="12">
        <v>39554362.024889253</v>
      </c>
      <c r="I31" s="12">
        <v>17076052.1286157</v>
      </c>
      <c r="J31" s="12">
        <v>17825893.906096458</v>
      </c>
      <c r="K31" s="12">
        <v>34901946.034712173</v>
      </c>
      <c r="L31" s="12">
        <v>10557761.09328023</v>
      </c>
      <c r="M31" s="12">
        <v>85014069.152881637</v>
      </c>
      <c r="N31" s="14">
        <v>85.014069152881632</v>
      </c>
      <c r="O31" s="15">
        <v>22.65109381067299</v>
      </c>
      <c r="P31" s="15">
        <v>5.6663817123268219</v>
      </c>
      <c r="Q31" s="15">
        <f t="shared" si="0"/>
        <v>5.915203260952536</v>
      </c>
      <c r="R31" s="14">
        <v>5.8799594390172052</v>
      </c>
    </row>
    <row r="32" spans="1:18" ht="13.95" customHeight="1" x14ac:dyDescent="0.3">
      <c r="A32" s="16" t="s">
        <v>51</v>
      </c>
      <c r="B32" s="16">
        <v>2029</v>
      </c>
      <c r="C32" s="16" t="s">
        <v>45</v>
      </c>
      <c r="D32" s="12">
        <v>1765434.6266051671</v>
      </c>
      <c r="E32" s="12">
        <v>3046688.6859298591</v>
      </c>
      <c r="F32" s="13">
        <v>10139.47743353676</v>
      </c>
      <c r="G32" s="12">
        <v>1815281.305365209</v>
      </c>
      <c r="H32" s="12">
        <v>41197100.957970493</v>
      </c>
      <c r="I32" s="12">
        <v>17263701.053105991</v>
      </c>
      <c r="J32" s="12">
        <v>18211994.445681449</v>
      </c>
      <c r="K32" s="12">
        <v>35475695.498787433</v>
      </c>
      <c r="L32" s="12">
        <v>10644035.75822187</v>
      </c>
      <c r="M32" s="12">
        <v>87316832.214979798</v>
      </c>
      <c r="N32" s="14">
        <v>87.316832214979797</v>
      </c>
      <c r="O32" s="15">
        <v>23.335387409496011</v>
      </c>
      <c r="P32" s="15">
        <v>5.6663817123268219</v>
      </c>
      <c r="Q32" s="15">
        <f t="shared" si="0"/>
        <v>5.9776354997435819</v>
      </c>
      <c r="R32" s="14">
        <v>5.8635737209227941</v>
      </c>
    </row>
    <row r="33" spans="1:18" ht="13.95" customHeight="1" x14ac:dyDescent="0.3">
      <c r="A33" s="16" t="s">
        <v>52</v>
      </c>
      <c r="B33" s="16">
        <v>2029</v>
      </c>
      <c r="C33" s="16" t="s">
        <v>45</v>
      </c>
      <c r="D33" s="12">
        <v>1765434.6266051671</v>
      </c>
      <c r="E33" s="12">
        <v>3046688.6859298591</v>
      </c>
      <c r="F33" s="13">
        <v>10139.47743353676</v>
      </c>
      <c r="G33" s="12">
        <v>1815281.305365209</v>
      </c>
      <c r="H33" s="12">
        <v>40515654.173263073</v>
      </c>
      <c r="I33" s="12">
        <v>17263701.053105991</v>
      </c>
      <c r="J33" s="12">
        <v>17783232.80672479</v>
      </c>
      <c r="K33" s="12">
        <v>35046933.859830782</v>
      </c>
      <c r="L33" s="12">
        <v>10636162.116187491</v>
      </c>
      <c r="M33" s="12">
        <v>86198750.149281338</v>
      </c>
      <c r="N33" s="14">
        <v>86.198750149281338</v>
      </c>
      <c r="O33" s="15">
        <v>22.949393629585959</v>
      </c>
      <c r="P33" s="15">
        <v>5.6663817123268219</v>
      </c>
      <c r="Q33" s="15">
        <f t="shared" si="0"/>
        <v>5.8369051255058872</v>
      </c>
      <c r="R33" s="14">
        <v>5.8592362983915818</v>
      </c>
    </row>
    <row r="34" spans="1:18" ht="13.95" customHeight="1" x14ac:dyDescent="0.3">
      <c r="A34" s="17" t="s">
        <v>53</v>
      </c>
      <c r="B34" s="17">
        <v>2030</v>
      </c>
      <c r="C34" s="17" t="s">
        <v>54</v>
      </c>
      <c r="D34" s="18">
        <v>7162317.8296181578</v>
      </c>
      <c r="E34" s="18">
        <v>12069179.40049148</v>
      </c>
      <c r="F34" s="19">
        <v>51784.90889835362</v>
      </c>
      <c r="G34" s="18">
        <v>8835727.4168918245</v>
      </c>
      <c r="H34" s="18">
        <v>164019526.01834631</v>
      </c>
      <c r="I34" s="18">
        <v>68388577.437736541</v>
      </c>
      <c r="J34" s="18">
        <v>91861786.616782606</v>
      </c>
      <c r="K34" s="18">
        <v>160250364.05451909</v>
      </c>
      <c r="L34" s="18">
        <v>51936383.394510902</v>
      </c>
      <c r="M34" s="18">
        <v>376206273.46737641</v>
      </c>
      <c r="N34" s="20">
        <v>376.20627346737638</v>
      </c>
      <c r="O34" s="21">
        <v>22.90034174971688</v>
      </c>
      <c r="P34" s="21">
        <v>5.6663817123268236</v>
      </c>
      <c r="Q34" s="21">
        <f t="shared" si="0"/>
        <v>7.6112702917517172</v>
      </c>
      <c r="R34" s="20">
        <v>5.8779974691411141</v>
      </c>
    </row>
    <row r="35" spans="1:18" ht="13.95" customHeight="1" x14ac:dyDescent="0.3">
      <c r="A35" s="17" t="s">
        <v>55</v>
      </c>
      <c r="B35" s="17">
        <v>2031</v>
      </c>
      <c r="C35" s="17" t="s">
        <v>54</v>
      </c>
      <c r="D35" s="18">
        <v>7169929.901318578</v>
      </c>
      <c r="E35" s="18">
        <v>12057028.200229321</v>
      </c>
      <c r="F35" s="19">
        <v>29093.262551610209</v>
      </c>
      <c r="G35" s="18">
        <v>8054328.3924117163</v>
      </c>
      <c r="H35" s="18">
        <v>164193845.06170931</v>
      </c>
      <c r="I35" s="18">
        <v>68319724.098788217</v>
      </c>
      <c r="J35" s="18">
        <v>51608839.975906894</v>
      </c>
      <c r="K35" s="18">
        <v>119928564.0746951</v>
      </c>
      <c r="L35" s="18">
        <v>47343321.906227477</v>
      </c>
      <c r="M35" s="18">
        <v>331465731.04263192</v>
      </c>
      <c r="N35" s="20">
        <v>331.46573104263189</v>
      </c>
      <c r="O35" s="21">
        <v>22.90034174971688</v>
      </c>
      <c r="P35" s="21">
        <v>5.6663817123268236</v>
      </c>
      <c r="Q35" s="21">
        <f t="shared" si="0"/>
        <v>4.2803947306787684</v>
      </c>
      <c r="R35" s="20">
        <v>5.8779974691411141</v>
      </c>
    </row>
    <row r="36" spans="1:18" ht="13.95" customHeight="1" x14ac:dyDescent="0.3">
      <c r="A36" s="17" t="s">
        <v>56</v>
      </c>
      <c r="B36" s="17">
        <v>2032</v>
      </c>
      <c r="C36" s="17" t="s">
        <v>54</v>
      </c>
      <c r="D36" s="18">
        <v>7235992.6733078239</v>
      </c>
      <c r="E36" s="18">
        <v>12102595.200310821</v>
      </c>
      <c r="F36" s="19">
        <v>31062.879857736451</v>
      </c>
      <c r="G36" s="18">
        <v>8047753.7358196015</v>
      </c>
      <c r="H36" s="18">
        <v>165706705.11719659</v>
      </c>
      <c r="I36" s="18">
        <v>68577924.114735618</v>
      </c>
      <c r="J36" s="18">
        <v>55102764.529240303</v>
      </c>
      <c r="K36" s="18">
        <v>123680688.6439759</v>
      </c>
      <c r="L36" s="18">
        <v>47304676.091418557</v>
      </c>
      <c r="M36" s="18">
        <v>336692069.8525911</v>
      </c>
      <c r="N36" s="20">
        <v>336.69206985259109</v>
      </c>
      <c r="O36" s="21">
        <v>22.90034174971688</v>
      </c>
      <c r="P36" s="21">
        <v>5.6663817123268236</v>
      </c>
      <c r="Q36" s="21">
        <f t="shared" si="0"/>
        <v>4.552970963436433</v>
      </c>
      <c r="R36" s="20">
        <v>5.8779974691411141</v>
      </c>
    </row>
    <row r="37" spans="1:18" ht="13.95" customHeight="1" x14ac:dyDescent="0.3">
      <c r="A37" s="17" t="s">
        <v>57</v>
      </c>
      <c r="B37" s="17">
        <v>2033</v>
      </c>
      <c r="C37" s="17" t="s">
        <v>54</v>
      </c>
      <c r="D37" s="18">
        <v>7023528.4937379891</v>
      </c>
      <c r="E37" s="18">
        <v>12063103.796705799</v>
      </c>
      <c r="F37" s="19">
        <v>25448.921566193869</v>
      </c>
      <c r="G37" s="18">
        <v>7514000.5069305804</v>
      </c>
      <c r="H37" s="18">
        <v>160841202.7954742</v>
      </c>
      <c r="I37" s="18">
        <v>68354150.747554019</v>
      </c>
      <c r="J37" s="18">
        <v>45144105.730294377</v>
      </c>
      <c r="K37" s="18">
        <v>113498256.4778484</v>
      </c>
      <c r="L37" s="18">
        <v>44167275.962862998</v>
      </c>
      <c r="M37" s="18">
        <v>318506735.23618561</v>
      </c>
      <c r="N37" s="20">
        <v>318.50673523618548</v>
      </c>
      <c r="O37" s="21">
        <v>22.90034174971688</v>
      </c>
      <c r="P37" s="21">
        <v>5.6663817123268236</v>
      </c>
      <c r="Q37" s="21">
        <f t="shared" si="0"/>
        <v>3.742329212372554</v>
      </c>
      <c r="R37" s="20">
        <v>5.8779974691411141</v>
      </c>
    </row>
    <row r="38" spans="1:18" ht="13.95" customHeight="1" x14ac:dyDescent="0.3">
      <c r="A38" s="17" t="s">
        <v>58</v>
      </c>
      <c r="B38" s="17">
        <v>2034</v>
      </c>
      <c r="C38" s="17" t="s">
        <v>54</v>
      </c>
      <c r="D38" s="18">
        <v>7205647.499225718</v>
      </c>
      <c r="E38" s="18">
        <v>12063103.800000001</v>
      </c>
      <c r="F38" s="19">
        <v>25441.744823375899</v>
      </c>
      <c r="G38" s="18">
        <v>7613890.7203093003</v>
      </c>
      <c r="H38" s="18">
        <v>165011790.2602618</v>
      </c>
      <c r="I38" s="18">
        <v>68354150.766220212</v>
      </c>
      <c r="J38" s="18">
        <v>45131374.831826597</v>
      </c>
      <c r="K38" s="18">
        <v>113485525.59804679</v>
      </c>
      <c r="L38" s="18">
        <v>44754430.384295084</v>
      </c>
      <c r="M38" s="18">
        <v>323251746.24260372</v>
      </c>
      <c r="N38" s="20">
        <v>323.25174624260359</v>
      </c>
      <c r="O38" s="21">
        <v>22.90034174971688</v>
      </c>
      <c r="P38" s="21">
        <v>5.6663817123268236</v>
      </c>
      <c r="Q38" s="21">
        <f t="shared" si="0"/>
        <v>3.7412738529056342</v>
      </c>
      <c r="R38" s="20">
        <v>5.8779974691411141</v>
      </c>
    </row>
    <row r="39" spans="1:18" ht="13.95" customHeight="1" x14ac:dyDescent="0.3">
      <c r="A39" s="17" t="s">
        <v>59</v>
      </c>
      <c r="B39" s="17">
        <v>2035</v>
      </c>
      <c r="C39" s="17" t="s">
        <v>54</v>
      </c>
      <c r="D39" s="18">
        <v>7201724.0669677891</v>
      </c>
      <c r="E39" s="18">
        <v>5260777.0959999999</v>
      </c>
      <c r="F39" s="19">
        <v>11095.26624889794</v>
      </c>
      <c r="G39" s="18">
        <v>6583734.4884850569</v>
      </c>
      <c r="H39" s="18">
        <v>164921942.3207233</v>
      </c>
      <c r="I39" s="18">
        <v>29809571.129402209</v>
      </c>
      <c r="J39" s="18">
        <v>19682007.79522964</v>
      </c>
      <c r="K39" s="18">
        <v>49491578.924631849</v>
      </c>
      <c r="L39" s="18">
        <v>38699174.660812229</v>
      </c>
      <c r="M39" s="18">
        <v>253112695.90616739</v>
      </c>
      <c r="N39" s="20">
        <v>253.1126959061674</v>
      </c>
      <c r="O39" s="21">
        <v>22.90034174971688</v>
      </c>
      <c r="P39" s="21">
        <v>5.6663817123268236</v>
      </c>
      <c r="Q39" s="21">
        <f t="shared" si="0"/>
        <v>3.7412738529056355</v>
      </c>
      <c r="R39" s="20">
        <v>5.8779974691411141</v>
      </c>
    </row>
    <row r="40" spans="1:18" ht="13.95" customHeight="1" x14ac:dyDescent="0.3">
      <c r="A40" s="17" t="s">
        <v>60</v>
      </c>
      <c r="B40" s="17">
        <v>2036</v>
      </c>
      <c r="C40" s="17" t="s">
        <v>54</v>
      </c>
      <c r="D40" s="18">
        <v>7238333.3941171505</v>
      </c>
      <c r="E40" s="18">
        <v>0</v>
      </c>
      <c r="F40" s="19">
        <v>0</v>
      </c>
      <c r="G40" s="18">
        <v>5572220.8235900672</v>
      </c>
      <c r="H40" s="18">
        <v>165760308.42367089</v>
      </c>
      <c r="I40" s="18">
        <v>0</v>
      </c>
      <c r="J40" s="18">
        <v>0</v>
      </c>
      <c r="K40" s="18">
        <v>0</v>
      </c>
      <c r="L40" s="18">
        <v>32753499.898557831</v>
      </c>
      <c r="M40" s="18">
        <v>198513808.3222287</v>
      </c>
      <c r="N40" s="20">
        <v>198.5138083222287</v>
      </c>
      <c r="O40" s="21">
        <v>22.90034174971688</v>
      </c>
      <c r="P40" s="21">
        <v>5.6663817123268236</v>
      </c>
      <c r="Q40" s="21">
        <v>0</v>
      </c>
      <c r="R40" s="20">
        <v>5.8779974691411141</v>
      </c>
    </row>
    <row r="41" spans="1:18" ht="13.95" customHeight="1" x14ac:dyDescent="0.3">
      <c r="A41" s="17" t="s">
        <v>61</v>
      </c>
      <c r="B41" s="17">
        <v>2037</v>
      </c>
      <c r="C41" s="17" t="s">
        <v>54</v>
      </c>
      <c r="D41" s="18">
        <v>6882191.634940383</v>
      </c>
      <c r="E41" s="18">
        <v>0</v>
      </c>
      <c r="F41" s="19">
        <v>0</v>
      </c>
      <c r="G41" s="18">
        <v>5353884.7866758481</v>
      </c>
      <c r="H41" s="18">
        <v>157604540.42717749</v>
      </c>
      <c r="I41" s="18">
        <v>0</v>
      </c>
      <c r="J41" s="18">
        <v>0</v>
      </c>
      <c r="K41" s="18">
        <v>0</v>
      </c>
      <c r="L41" s="18">
        <v>31470121.22615375</v>
      </c>
      <c r="M41" s="18">
        <v>189074661.65333131</v>
      </c>
      <c r="N41" s="20">
        <v>189.0746616533313</v>
      </c>
      <c r="O41" s="21">
        <v>22.90034174971688</v>
      </c>
      <c r="P41" s="21">
        <v>5.6663817123268236</v>
      </c>
      <c r="Q41" s="21">
        <v>0</v>
      </c>
      <c r="R41" s="20">
        <v>5.8779974691411141</v>
      </c>
    </row>
    <row r="42" spans="1:18" ht="13.95" customHeight="1" x14ac:dyDescent="0.3">
      <c r="A42" s="17" t="s">
        <v>62</v>
      </c>
      <c r="B42" s="17">
        <v>2038</v>
      </c>
      <c r="C42" s="17" t="s">
        <v>54</v>
      </c>
      <c r="D42" s="18">
        <v>7019989.0652931444</v>
      </c>
      <c r="E42" s="18">
        <v>0</v>
      </c>
      <c r="F42" s="19">
        <v>0</v>
      </c>
      <c r="G42" s="18">
        <v>5437299.7219277639</v>
      </c>
      <c r="H42" s="18">
        <v>160760148.6744886</v>
      </c>
      <c r="I42" s="18">
        <v>0</v>
      </c>
      <c r="J42" s="18">
        <v>0</v>
      </c>
      <c r="K42" s="18">
        <v>0</v>
      </c>
      <c r="L42" s="18">
        <v>31960434.004453082</v>
      </c>
      <c r="M42" s="18">
        <v>192720582.6789417</v>
      </c>
      <c r="N42" s="20">
        <v>192.7205826789417</v>
      </c>
      <c r="O42" s="21">
        <v>22.90034174971688</v>
      </c>
      <c r="P42" s="21">
        <v>5.6663817123268236</v>
      </c>
      <c r="Q42" s="21">
        <v>0</v>
      </c>
      <c r="R42" s="20">
        <v>5.8779974691411141</v>
      </c>
    </row>
    <row r="43" spans="1:18" ht="13.95" customHeight="1" x14ac:dyDescent="0.3">
      <c r="A43" s="17" t="s">
        <v>63</v>
      </c>
      <c r="B43" s="17">
        <v>2039</v>
      </c>
      <c r="C43" s="17" t="s">
        <v>54</v>
      </c>
      <c r="D43" s="18">
        <v>7124781.505607604</v>
      </c>
      <c r="E43" s="18">
        <v>0</v>
      </c>
      <c r="F43" s="19">
        <v>0</v>
      </c>
      <c r="G43" s="18">
        <v>5530105.3327919655</v>
      </c>
      <c r="H43" s="18">
        <v>163159931.37047651</v>
      </c>
      <c r="I43" s="18">
        <v>0</v>
      </c>
      <c r="J43" s="18">
        <v>0</v>
      </c>
      <c r="K43" s="18">
        <v>0</v>
      </c>
      <c r="L43" s="18">
        <v>32505945.150234949</v>
      </c>
      <c r="M43" s="18">
        <v>195665876.52071151</v>
      </c>
      <c r="N43" s="20">
        <v>195.66587652071149</v>
      </c>
      <c r="O43" s="21">
        <v>22.90034174971688</v>
      </c>
      <c r="P43" s="21">
        <v>5.6663817123268236</v>
      </c>
      <c r="Q43" s="21">
        <v>0</v>
      </c>
      <c r="R43" s="20">
        <v>5.8779974691411141</v>
      </c>
    </row>
    <row r="44" spans="1:18" ht="13.95" customHeight="1" x14ac:dyDescent="0.3">
      <c r="A44" s="17" t="s">
        <v>64</v>
      </c>
      <c r="B44" s="17">
        <v>2040</v>
      </c>
      <c r="C44" s="17" t="s">
        <v>54</v>
      </c>
      <c r="D44" s="18">
        <v>7258570.2882826403</v>
      </c>
      <c r="E44" s="18">
        <v>0</v>
      </c>
      <c r="F44" s="19">
        <v>0</v>
      </c>
      <c r="G44" s="18">
        <v>5594668.8334453488</v>
      </c>
      <c r="H44" s="18">
        <v>166223740.21601349</v>
      </c>
      <c r="I44" s="18">
        <v>0</v>
      </c>
      <c r="J44" s="18">
        <v>0</v>
      </c>
      <c r="K44" s="18">
        <v>0</v>
      </c>
      <c r="L44" s="18">
        <v>32885449.243674431</v>
      </c>
      <c r="M44" s="18">
        <v>199109189.45968789</v>
      </c>
      <c r="N44" s="20">
        <v>199.10918945968791</v>
      </c>
      <c r="O44" s="21">
        <v>22.90034174971688</v>
      </c>
      <c r="P44" s="21">
        <v>5.6663817123268236</v>
      </c>
      <c r="Q44" s="21">
        <v>0</v>
      </c>
      <c r="R44" s="20">
        <v>5.8779974691411141</v>
      </c>
    </row>
    <row r="45" spans="1:18" ht="13.95" customHeight="1" x14ac:dyDescent="0.3">
      <c r="A45" s="17" t="s">
        <v>65</v>
      </c>
      <c r="B45" s="17">
        <v>2041</v>
      </c>
      <c r="C45" s="17" t="s">
        <v>54</v>
      </c>
      <c r="D45" s="18">
        <v>7231807.8520274572</v>
      </c>
      <c r="E45" s="18">
        <v>0</v>
      </c>
      <c r="F45" s="19">
        <v>0</v>
      </c>
      <c r="G45" s="18">
        <v>5604756.2392383451</v>
      </c>
      <c r="H45" s="18">
        <v>165610871.27971479</v>
      </c>
      <c r="I45" s="18">
        <v>0</v>
      </c>
      <c r="J45" s="18">
        <v>0</v>
      </c>
      <c r="K45" s="18">
        <v>0</v>
      </c>
      <c r="L45" s="18">
        <v>32944742.989395861</v>
      </c>
      <c r="M45" s="18">
        <v>198555614.26911059</v>
      </c>
      <c r="N45" s="20">
        <v>198.55561426911061</v>
      </c>
      <c r="O45" s="21">
        <v>22.90034174971688</v>
      </c>
      <c r="P45" s="21">
        <v>5.6663817123268236</v>
      </c>
      <c r="Q45" s="21">
        <v>0</v>
      </c>
      <c r="R45" s="20">
        <v>5.8779974691411141</v>
      </c>
    </row>
    <row r="46" spans="1:18" ht="13.95" customHeight="1" x14ac:dyDescent="0.3">
      <c r="A46" s="17" t="s">
        <v>66</v>
      </c>
      <c r="B46" s="17">
        <v>2042</v>
      </c>
      <c r="C46" s="17" t="s">
        <v>54</v>
      </c>
      <c r="D46" s="18">
        <v>7164437.691646684</v>
      </c>
      <c r="E46" s="18">
        <v>0</v>
      </c>
      <c r="F46" s="19">
        <v>0</v>
      </c>
      <c r="G46" s="18">
        <v>5469721.4359702636</v>
      </c>
      <c r="H46" s="18">
        <v>164068071.58326179</v>
      </c>
      <c r="I46" s="18">
        <v>0</v>
      </c>
      <c r="J46" s="18">
        <v>0</v>
      </c>
      <c r="K46" s="18">
        <v>0</v>
      </c>
      <c r="L46" s="18">
        <v>32151008.75754011</v>
      </c>
      <c r="M46" s="18">
        <v>196219080.34080189</v>
      </c>
      <c r="N46" s="20">
        <v>196.2190803408019</v>
      </c>
      <c r="O46" s="21">
        <v>22.90034174971688</v>
      </c>
      <c r="P46" s="21">
        <v>5.6663817123268236</v>
      </c>
      <c r="Q46" s="21">
        <v>0</v>
      </c>
      <c r="R46" s="20">
        <v>5.8779974691411141</v>
      </c>
    </row>
    <row r="47" spans="1:18" ht="13.95" customHeight="1" x14ac:dyDescent="0.3">
      <c r="A47" s="17" t="s">
        <v>67</v>
      </c>
      <c r="B47" s="17">
        <v>2043</v>
      </c>
      <c r="C47" s="17" t="s">
        <v>54</v>
      </c>
      <c r="D47" s="18">
        <v>7086983.7290458502</v>
      </c>
      <c r="E47" s="18">
        <v>0</v>
      </c>
      <c r="F47" s="19">
        <v>0</v>
      </c>
      <c r="G47" s="18">
        <v>5255197.1161201466</v>
      </c>
      <c r="H47" s="18">
        <v>162294349.3698329</v>
      </c>
      <c r="I47" s="18">
        <v>0</v>
      </c>
      <c r="J47" s="18">
        <v>0</v>
      </c>
      <c r="K47" s="18">
        <v>0</v>
      </c>
      <c r="L47" s="18">
        <v>30890035.348391902</v>
      </c>
      <c r="M47" s="18">
        <v>193184384.71822479</v>
      </c>
      <c r="N47" s="20">
        <v>193.18438471822481</v>
      </c>
      <c r="O47" s="21">
        <v>22.90034174971688</v>
      </c>
      <c r="P47" s="21">
        <v>5.6663817123268236</v>
      </c>
      <c r="Q47" s="21">
        <v>0</v>
      </c>
      <c r="R47" s="20">
        <v>5.8779974691411141</v>
      </c>
    </row>
    <row r="48" spans="1:18" ht="13.95" customHeight="1" x14ac:dyDescent="0.3">
      <c r="A48" s="17" t="s">
        <v>68</v>
      </c>
      <c r="B48" s="17">
        <v>2044</v>
      </c>
      <c r="C48" s="17" t="s">
        <v>54</v>
      </c>
      <c r="D48" s="18">
        <v>7086983.72929186</v>
      </c>
      <c r="E48" s="18">
        <v>0</v>
      </c>
      <c r="F48" s="19">
        <v>0</v>
      </c>
      <c r="G48" s="18">
        <v>5273459.5055767586</v>
      </c>
      <c r="H48" s="18">
        <v>162294349.37546659</v>
      </c>
      <c r="I48" s="18">
        <v>0</v>
      </c>
      <c r="J48" s="18">
        <v>0</v>
      </c>
      <c r="K48" s="18">
        <v>0</v>
      </c>
      <c r="L48" s="18">
        <v>30997381.627398338</v>
      </c>
      <c r="M48" s="18">
        <v>193291731.00286499</v>
      </c>
      <c r="N48" s="20">
        <v>193.29173100286499</v>
      </c>
      <c r="O48" s="21">
        <v>22.90034174971688</v>
      </c>
      <c r="P48" s="21">
        <v>5.6663817123268236</v>
      </c>
      <c r="Q48" s="21">
        <v>0</v>
      </c>
      <c r="R48" s="20">
        <v>5.8779974691411141</v>
      </c>
    </row>
    <row r="49" spans="1:18" ht="13.95" customHeight="1" x14ac:dyDescent="0.3">
      <c r="A49" s="17" t="s">
        <v>69</v>
      </c>
      <c r="B49" s="17">
        <v>2045</v>
      </c>
      <c r="C49" s="17" t="s">
        <v>54</v>
      </c>
      <c r="D49" s="18">
        <v>1136579.7296434031</v>
      </c>
      <c r="E49" s="18">
        <v>0</v>
      </c>
      <c r="F49" s="19">
        <v>0</v>
      </c>
      <c r="G49" s="18">
        <v>1946709.866724601</v>
      </c>
      <c r="H49" s="18">
        <v>26028064.23463475</v>
      </c>
      <c r="I49" s="18">
        <v>0</v>
      </c>
      <c r="J49" s="18">
        <v>0</v>
      </c>
      <c r="K49" s="18">
        <v>0</v>
      </c>
      <c r="L49" s="18">
        <v>11442755.66975924</v>
      </c>
      <c r="M49" s="18">
        <v>37470819.904393993</v>
      </c>
      <c r="N49" s="20">
        <v>37.470819904393991</v>
      </c>
      <c r="O49" s="21">
        <v>22.90034174971688</v>
      </c>
      <c r="P49" s="21">
        <v>5.6663817123268236</v>
      </c>
      <c r="Q49" s="21">
        <v>0</v>
      </c>
      <c r="R49" s="20">
        <v>5.8779974691411141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4" width="14" customWidth="1"/>
    <col min="5" max="5" width="13" customWidth="1"/>
    <col min="6" max="6" width="14" customWidth="1"/>
    <col min="7" max="7" width="13" customWidth="1"/>
    <col min="8" max="9" width="12" customWidth="1"/>
    <col min="10" max="10" width="11" customWidth="1"/>
    <col min="11" max="12" width="13" customWidth="1"/>
    <col min="13" max="13" width="14" customWidth="1"/>
  </cols>
  <sheetData>
    <row r="1" spans="1:13" ht="25.05" customHeight="1" x14ac:dyDescent="0.3">
      <c r="A1" s="64" t="s">
        <v>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40.049999999999997" customHeight="1" x14ac:dyDescent="0.3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</row>
    <row r="3" spans="1:13" ht="13.95" customHeight="1" x14ac:dyDescent="0.3">
      <c r="A3" s="22" t="s">
        <v>84</v>
      </c>
      <c r="B3" s="23">
        <v>13564448.502275029</v>
      </c>
      <c r="C3" s="23">
        <v>4428978.4616049342</v>
      </c>
      <c r="D3" s="23">
        <v>3328696.6930772942</v>
      </c>
      <c r="E3" s="23">
        <v>7757675.1546822283</v>
      </c>
      <c r="F3" s="23">
        <v>2960724.662150831</v>
      </c>
      <c r="G3" s="23">
        <v>581000</v>
      </c>
      <c r="H3" s="23">
        <v>590348.16940429679</v>
      </c>
      <c r="I3" s="24">
        <v>1876.136</v>
      </c>
      <c r="J3" s="23">
        <v>0</v>
      </c>
      <c r="K3" s="25">
        <v>23.346727198407969</v>
      </c>
      <c r="L3" s="25">
        <v>7.5023159063474152</v>
      </c>
      <c r="M3" s="24">
        <v>1774.229956185103</v>
      </c>
    </row>
    <row r="4" spans="1:13" ht="13.95" customHeight="1" x14ac:dyDescent="0.3">
      <c r="A4" s="26" t="s">
        <v>85</v>
      </c>
      <c r="B4" s="27">
        <v>11196816.988749679</v>
      </c>
      <c r="C4" s="27">
        <v>3733190.6895625852</v>
      </c>
      <c r="D4" s="27">
        <v>2756387.088443263</v>
      </c>
      <c r="E4" s="27">
        <v>6489577.7780058477</v>
      </c>
      <c r="F4" s="27">
        <v>2464270.3430319531</v>
      </c>
      <c r="G4" s="27">
        <v>473000</v>
      </c>
      <c r="H4" s="27">
        <v>541752.16472534172</v>
      </c>
      <c r="I4" s="28">
        <v>1480.298</v>
      </c>
      <c r="J4" s="27">
        <v>0</v>
      </c>
      <c r="K4" s="29">
        <v>23.67191752378368</v>
      </c>
      <c r="L4" s="29">
        <v>6.8909566636530988</v>
      </c>
      <c r="M4" s="28">
        <v>1862.048782368998</v>
      </c>
    </row>
    <row r="5" spans="1:13" ht="13.95" customHeight="1" x14ac:dyDescent="0.3">
      <c r="A5" s="22" t="s">
        <v>86</v>
      </c>
      <c r="B5" s="23">
        <v>12536847.350772411</v>
      </c>
      <c r="C5" s="23">
        <v>3387067.4175919211</v>
      </c>
      <c r="D5" s="23">
        <v>2333620.1973792189</v>
      </c>
      <c r="E5" s="23">
        <v>5720687.6149711404</v>
      </c>
      <c r="F5" s="23">
        <v>2739995.5573345739</v>
      </c>
      <c r="G5" s="23">
        <v>542000</v>
      </c>
      <c r="H5" s="23">
        <v>380071.2189358155</v>
      </c>
      <c r="I5" s="24">
        <v>1362.93</v>
      </c>
      <c r="J5" s="23">
        <v>0</v>
      </c>
      <c r="K5" s="25">
        <v>23.13071466932179</v>
      </c>
      <c r="L5" s="25">
        <v>8.9116651007555276</v>
      </c>
      <c r="M5" s="24">
        <v>1712.208402030346</v>
      </c>
    </row>
    <row r="6" spans="1:13" ht="13.95" customHeight="1" x14ac:dyDescent="0.3">
      <c r="A6" s="26" t="s">
        <v>87</v>
      </c>
      <c r="B6" s="27">
        <v>13503842.15507816</v>
      </c>
      <c r="C6" s="27">
        <v>3812126.1009924868</v>
      </c>
      <c r="D6" s="27">
        <v>3361162.5682043331</v>
      </c>
      <c r="E6" s="27">
        <v>7173288.6691968199</v>
      </c>
      <c r="F6" s="27">
        <v>3007408.4770242991</v>
      </c>
      <c r="G6" s="27">
        <v>607000</v>
      </c>
      <c r="H6" s="27">
        <v>460841.76865664049</v>
      </c>
      <c r="I6" s="28">
        <v>1915.2380000000001</v>
      </c>
      <c r="J6" s="27">
        <v>0</v>
      </c>
      <c r="K6" s="29">
        <v>22.246856927641119</v>
      </c>
      <c r="L6" s="29">
        <v>8.2720932872575368</v>
      </c>
      <c r="M6" s="28">
        <v>1754.9581661414061</v>
      </c>
    </row>
    <row r="7" spans="1:13" ht="13.95" customHeight="1" x14ac:dyDescent="0.3">
      <c r="A7" s="22" t="s">
        <v>88</v>
      </c>
      <c r="B7" s="23">
        <v>12531316.81220535</v>
      </c>
      <c r="C7" s="23">
        <v>4501970.3020992726</v>
      </c>
      <c r="D7" s="23">
        <v>4003715.894581819</v>
      </c>
      <c r="E7" s="23">
        <v>8505686.1966810916</v>
      </c>
      <c r="F7" s="23">
        <v>2965264.6755323908</v>
      </c>
      <c r="G7" s="23">
        <v>576000</v>
      </c>
      <c r="H7" s="23">
        <v>579670.74723938247</v>
      </c>
      <c r="I7" s="24">
        <v>2201.0479999999998</v>
      </c>
      <c r="J7" s="23">
        <v>0</v>
      </c>
      <c r="K7" s="25">
        <v>21.755758354523181</v>
      </c>
      <c r="L7" s="25">
        <v>7.7664265853321144</v>
      </c>
      <c r="M7" s="24">
        <v>1819.0043536450901</v>
      </c>
    </row>
    <row r="8" spans="1:13" ht="13.95" customHeight="1" x14ac:dyDescent="0.3">
      <c r="A8" s="26" t="s">
        <v>89</v>
      </c>
      <c r="B8" s="27">
        <v>13648844.768309539</v>
      </c>
      <c r="C8" s="27">
        <v>4328094.6613387037</v>
      </c>
      <c r="D8" s="27">
        <v>4018985.7788046212</v>
      </c>
      <c r="E8" s="27">
        <v>8347080.4401433244</v>
      </c>
      <c r="F8" s="27">
        <v>3123304.3471510811</v>
      </c>
      <c r="G8" s="27">
        <v>622583</v>
      </c>
      <c r="H8" s="27">
        <v>525632.38045828859</v>
      </c>
      <c r="I8" s="28">
        <v>2248.373</v>
      </c>
      <c r="J8" s="27">
        <v>0</v>
      </c>
      <c r="K8" s="29">
        <v>21.922931991894309</v>
      </c>
      <c r="L8" s="29">
        <v>8.234071610210016</v>
      </c>
      <c r="M8" s="28">
        <v>1787.5084689260279</v>
      </c>
    </row>
    <row r="9" spans="1:13" ht="13.95" customHeight="1" x14ac:dyDescent="0.3">
      <c r="A9" s="22" t="s">
        <v>90</v>
      </c>
      <c r="B9" s="23">
        <v>11893971.590312021</v>
      </c>
      <c r="C9" s="23">
        <v>4656056.7552388562</v>
      </c>
      <c r="D9" s="23">
        <v>4851608.2633768152</v>
      </c>
      <c r="E9" s="23">
        <v>9507665.0186156705</v>
      </c>
      <c r="F9" s="23">
        <v>2857380.3936575069</v>
      </c>
      <c r="G9" s="23">
        <v>530735</v>
      </c>
      <c r="H9" s="23">
        <v>613770.93339484872</v>
      </c>
      <c r="I9" s="24">
        <v>2719</v>
      </c>
      <c r="J9" s="23">
        <v>0</v>
      </c>
      <c r="K9" s="25">
        <v>22.410377288688359</v>
      </c>
      <c r="L9" s="25">
        <v>7.5859844477899703</v>
      </c>
      <c r="M9" s="24">
        <v>1784.335514298203</v>
      </c>
    </row>
    <row r="10" spans="1:13" ht="13.95" customHeight="1" x14ac:dyDescent="0.3">
      <c r="A10" s="26" t="s">
        <v>91</v>
      </c>
      <c r="B10" s="27">
        <v>13633959.76754904</v>
      </c>
      <c r="C10" s="27">
        <v>3806840.9876340651</v>
      </c>
      <c r="D10" s="27">
        <v>4796039.749298742</v>
      </c>
      <c r="E10" s="27">
        <v>8602880.7369328067</v>
      </c>
      <c r="F10" s="27">
        <v>3063546.690384916</v>
      </c>
      <c r="G10" s="27">
        <v>580270.11780816072</v>
      </c>
      <c r="H10" s="27">
        <v>502910.7148686524</v>
      </c>
      <c r="I10" s="28">
        <v>2501.016000000001</v>
      </c>
      <c r="J10" s="27">
        <v>0</v>
      </c>
      <c r="K10" s="29">
        <v>23.49588467358657</v>
      </c>
      <c r="L10" s="29">
        <v>7.5696159876576026</v>
      </c>
      <c r="M10" s="28">
        <v>1917.6365722165481</v>
      </c>
    </row>
    <row r="11" spans="1:13" ht="13.95" customHeight="1" x14ac:dyDescent="0.3">
      <c r="A11" s="22" t="s">
        <v>92</v>
      </c>
      <c r="B11" s="23">
        <v>13460476.155782981</v>
      </c>
      <c r="C11" s="23">
        <v>4585728.9946294986</v>
      </c>
      <c r="D11" s="23">
        <v>5141063.7833699379</v>
      </c>
      <c r="E11" s="23">
        <v>9726792.7779994365</v>
      </c>
      <c r="F11" s="23">
        <v>2885291.5020983</v>
      </c>
      <c r="G11" s="23">
        <v>525121.564034421</v>
      </c>
      <c r="H11" s="23">
        <v>668195.38497199712</v>
      </c>
      <c r="I11" s="24">
        <v>2902.3359999999998</v>
      </c>
      <c r="J11" s="23">
        <v>0</v>
      </c>
      <c r="K11" s="25">
        <v>25.633066850975219</v>
      </c>
      <c r="L11" s="25">
        <v>6.8628564305658566</v>
      </c>
      <c r="M11" s="24">
        <v>1771.3537589617249</v>
      </c>
    </row>
    <row r="12" spans="1:13" ht="13.95" customHeight="1" x14ac:dyDescent="0.3">
      <c r="A12" s="26" t="s">
        <v>93</v>
      </c>
      <c r="B12" s="27">
        <v>13181006.47253147</v>
      </c>
      <c r="C12" s="27">
        <v>4874273.4072803231</v>
      </c>
      <c r="D12" s="27">
        <v>5502376.7365146354</v>
      </c>
      <c r="E12" s="27">
        <v>10376650.143794959</v>
      </c>
      <c r="F12" s="27">
        <v>2989330.7013496761</v>
      </c>
      <c r="G12" s="27">
        <v>512000</v>
      </c>
      <c r="H12" s="27">
        <v>693000</v>
      </c>
      <c r="I12" s="28">
        <v>3196</v>
      </c>
      <c r="J12" s="27">
        <v>0</v>
      </c>
      <c r="K12" s="29">
        <v>25.74415326666303</v>
      </c>
      <c r="L12" s="29">
        <v>7.0335835602890668</v>
      </c>
      <c r="M12" s="28">
        <v>1721.6447861435031</v>
      </c>
    </row>
    <row r="13" spans="1:13" ht="13.95" customHeight="1" x14ac:dyDescent="0.3">
      <c r="A13" s="22" t="s">
        <v>94</v>
      </c>
      <c r="B13" s="23">
        <v>11229951.179313131</v>
      </c>
      <c r="C13" s="23">
        <v>5207738.8244046513</v>
      </c>
      <c r="D13" s="23">
        <v>5600719.0892632492</v>
      </c>
      <c r="E13" s="23">
        <v>10808457.9136679</v>
      </c>
      <c r="F13" s="23">
        <v>3033716.6792302048</v>
      </c>
      <c r="G13" s="23">
        <v>501000</v>
      </c>
      <c r="H13" s="23">
        <v>788000</v>
      </c>
      <c r="I13" s="24">
        <v>3136</v>
      </c>
      <c r="J13" s="23">
        <v>0</v>
      </c>
      <c r="K13" s="25">
        <v>22.41507221419787</v>
      </c>
      <c r="L13" s="25">
        <v>6.6088056147267151</v>
      </c>
      <c r="M13" s="24">
        <v>1785.943587137516</v>
      </c>
    </row>
    <row r="14" spans="1:13" ht="13.95" customHeight="1" x14ac:dyDescent="0.3">
      <c r="A14" s="26" t="s">
        <v>95</v>
      </c>
      <c r="B14" s="27">
        <v>13592290.949999999</v>
      </c>
      <c r="C14" s="27">
        <v>5227978.68</v>
      </c>
      <c r="D14" s="27">
        <v>6046404.6600000001</v>
      </c>
      <c r="E14" s="27">
        <v>11274383.34</v>
      </c>
      <c r="F14" s="27">
        <v>3926560.03</v>
      </c>
      <c r="G14" s="27">
        <v>620000</v>
      </c>
      <c r="H14" s="27">
        <v>795000</v>
      </c>
      <c r="I14" s="28">
        <v>3501</v>
      </c>
      <c r="J14" s="27">
        <v>0</v>
      </c>
      <c r="K14" s="29">
        <v>21.923049919354831</v>
      </c>
      <c r="L14" s="29">
        <v>6.5760738113207546</v>
      </c>
      <c r="M14" s="28">
        <v>1727.0507455012851</v>
      </c>
    </row>
    <row r="15" spans="1:13" ht="13.95" customHeight="1" x14ac:dyDescent="0.3">
      <c r="A15" s="22" t="s">
        <v>96</v>
      </c>
      <c r="B15" s="23">
        <v>11015153.954186231</v>
      </c>
      <c r="C15" s="23">
        <v>5641469.2540068151</v>
      </c>
      <c r="D15" s="23">
        <v>6614720.1752308868</v>
      </c>
      <c r="E15" s="23">
        <v>12256189.429237699</v>
      </c>
      <c r="F15" s="23">
        <v>3299514.8932503969</v>
      </c>
      <c r="G15" s="23">
        <v>489000</v>
      </c>
      <c r="H15" s="23">
        <v>828000</v>
      </c>
      <c r="I15" s="24">
        <v>3653</v>
      </c>
      <c r="J15" s="23">
        <v>0</v>
      </c>
      <c r="K15" s="25">
        <v>22.5258772069248</v>
      </c>
      <c r="L15" s="25">
        <v>6.8133686642594382</v>
      </c>
      <c r="M15" s="24">
        <v>1810.763803786172</v>
      </c>
    </row>
    <row r="16" spans="1:13" ht="13.95" customHeight="1" x14ac:dyDescent="0.3">
      <c r="A16" s="26" t="s">
        <v>97</v>
      </c>
      <c r="B16" s="27">
        <v>11411160.544998979</v>
      </c>
      <c r="C16" s="27">
        <v>4583196.0077614468</v>
      </c>
      <c r="D16" s="27">
        <v>5120820.3389805648</v>
      </c>
      <c r="E16" s="27">
        <v>9704016.3467420116</v>
      </c>
      <c r="F16" s="27">
        <v>3193872.1119327368</v>
      </c>
      <c r="G16" s="27">
        <v>516000</v>
      </c>
      <c r="H16" s="27">
        <v>649000</v>
      </c>
      <c r="I16" s="28">
        <v>2969</v>
      </c>
      <c r="J16" s="27">
        <v>0</v>
      </c>
      <c r="K16" s="29">
        <v>22.11465221899028</v>
      </c>
      <c r="L16" s="29">
        <v>7.0619352970130151</v>
      </c>
      <c r="M16" s="28">
        <v>1724.7626604852021</v>
      </c>
    </row>
    <row r="17" spans="1:13" ht="13.95" customHeight="1" x14ac:dyDescent="0.3">
      <c r="A17" s="22" t="s">
        <v>98</v>
      </c>
      <c r="B17" s="23">
        <v>13033375.96392954</v>
      </c>
      <c r="C17" s="23">
        <v>5536279.050496513</v>
      </c>
      <c r="D17" s="23">
        <v>5925317.9529579086</v>
      </c>
      <c r="E17" s="23">
        <v>11461597.003454421</v>
      </c>
      <c r="F17" s="23">
        <v>3878748.650092856</v>
      </c>
      <c r="G17" s="23">
        <v>579827.46434272465</v>
      </c>
      <c r="H17" s="23">
        <v>839037.1576846384</v>
      </c>
      <c r="I17" s="24">
        <v>3338.8070000000012</v>
      </c>
      <c r="J17" s="23">
        <v>0</v>
      </c>
      <c r="K17" s="25">
        <v>22.47802452528493</v>
      </c>
      <c r="L17" s="25">
        <v>6.5983717166640501</v>
      </c>
      <c r="M17" s="24">
        <v>1774.6811819185441</v>
      </c>
    </row>
    <row r="18" spans="1:13" ht="13.95" customHeight="1" x14ac:dyDescent="0.3">
      <c r="A18" s="26" t="s">
        <v>99</v>
      </c>
      <c r="B18" s="27">
        <v>11061896.742056429</v>
      </c>
      <c r="C18" s="27">
        <v>4902153.8068997143</v>
      </c>
      <c r="D18" s="27">
        <v>5740653.0554588009</v>
      </c>
      <c r="E18" s="27">
        <v>10642806.86235851</v>
      </c>
      <c r="F18" s="27">
        <v>3455851.2529698829</v>
      </c>
      <c r="G18" s="27">
        <v>501000</v>
      </c>
      <c r="H18" s="27">
        <v>739000</v>
      </c>
      <c r="I18" s="28">
        <v>3296</v>
      </c>
      <c r="J18" s="27">
        <v>0</v>
      </c>
      <c r="K18" s="29">
        <v>22.079634215681491</v>
      </c>
      <c r="L18" s="29">
        <v>6.6334963557506281</v>
      </c>
      <c r="M18" s="28">
        <v>1741.702990127063</v>
      </c>
    </row>
    <row r="19" spans="1:13" ht="13.95" customHeight="1" x14ac:dyDescent="0.3">
      <c r="A19" s="22" t="s">
        <v>100</v>
      </c>
      <c r="B19" s="23">
        <v>12685810.30156886</v>
      </c>
      <c r="C19" s="23">
        <v>5078276.8360734908</v>
      </c>
      <c r="D19" s="23">
        <v>5559603.2845845204</v>
      </c>
      <c r="E19" s="23">
        <v>10637880.12065801</v>
      </c>
      <c r="F19" s="23">
        <v>3545605.3927523009</v>
      </c>
      <c r="G19" s="23">
        <v>601900.66515115357</v>
      </c>
      <c r="H19" s="23">
        <v>745468.5462439945</v>
      </c>
      <c r="I19" s="24">
        <v>3092.4029999999998</v>
      </c>
      <c r="J19" s="23">
        <v>0</v>
      </c>
      <c r="K19" s="25">
        <v>21.07625233871957</v>
      </c>
      <c r="L19" s="25">
        <v>6.812194641424016</v>
      </c>
      <c r="M19" s="24">
        <v>1797.826248579024</v>
      </c>
    </row>
    <row r="20" spans="1:13" ht="13.95" customHeight="1" x14ac:dyDescent="0.3">
      <c r="A20" s="26" t="s">
        <v>101</v>
      </c>
      <c r="B20" s="27">
        <v>11216845.727118289</v>
      </c>
      <c r="C20" s="27">
        <v>4547337.3604610311</v>
      </c>
      <c r="D20" s="27">
        <v>4812763.4347887998</v>
      </c>
      <c r="E20" s="27">
        <v>9360100.7952498309</v>
      </c>
      <c r="F20" s="27">
        <v>3274669.4220581101</v>
      </c>
      <c r="G20" s="27">
        <v>498567</v>
      </c>
      <c r="H20" s="27">
        <v>621568.84615384613</v>
      </c>
      <c r="I20" s="28">
        <v>2700</v>
      </c>
      <c r="J20" s="27">
        <v>0</v>
      </c>
      <c r="K20" s="29">
        <v>22.498171212932849</v>
      </c>
      <c r="L20" s="29">
        <v>7.315902958456042</v>
      </c>
      <c r="M20" s="28">
        <v>1782.5049758477039</v>
      </c>
    </row>
    <row r="21" spans="1:13" ht="13.95" customHeight="1" x14ac:dyDescent="0.3">
      <c r="A21" s="22" t="s">
        <v>102</v>
      </c>
      <c r="B21" s="23">
        <v>12449552.200182591</v>
      </c>
      <c r="C21" s="23">
        <v>6001635.5597910788</v>
      </c>
      <c r="D21" s="23">
        <v>6515249.4221129511</v>
      </c>
      <c r="E21" s="23">
        <v>12516884.98190403</v>
      </c>
      <c r="F21" s="23">
        <v>3680561.8174470272</v>
      </c>
      <c r="G21" s="23">
        <v>521000</v>
      </c>
      <c r="H21" s="23">
        <v>853000</v>
      </c>
      <c r="I21" s="24">
        <v>3690</v>
      </c>
      <c r="J21" s="23">
        <v>0</v>
      </c>
      <c r="K21" s="25">
        <v>23.89549366637733</v>
      </c>
      <c r="L21" s="25">
        <v>7.0359150759567157</v>
      </c>
      <c r="M21" s="24">
        <v>1765.650249895109</v>
      </c>
    </row>
    <row r="22" spans="1:13" ht="13.95" customHeight="1" x14ac:dyDescent="0.3">
      <c r="A22" s="26" t="s">
        <v>103</v>
      </c>
      <c r="B22" s="27">
        <v>10907250.45722118</v>
      </c>
      <c r="C22" s="27">
        <v>5696827.2542279977</v>
      </c>
      <c r="D22" s="27">
        <v>5683277.0542055983</v>
      </c>
      <c r="E22" s="27">
        <v>11380104.3084336</v>
      </c>
      <c r="F22" s="27">
        <v>3646384.118147085</v>
      </c>
      <c r="G22" s="27">
        <v>469000</v>
      </c>
      <c r="H22" s="27">
        <v>809000</v>
      </c>
      <c r="I22" s="28">
        <v>3101</v>
      </c>
      <c r="J22" s="27">
        <v>0</v>
      </c>
      <c r="K22" s="29">
        <v>23.25639756337139</v>
      </c>
      <c r="L22" s="29">
        <v>7.0418136640642741</v>
      </c>
      <c r="M22" s="28">
        <v>1832.7239774929369</v>
      </c>
    </row>
    <row r="23" spans="1:13" ht="13.95" customHeight="1" x14ac:dyDescent="0.3">
      <c r="A23" s="22" t="s">
        <v>104</v>
      </c>
      <c r="B23" s="23">
        <v>12096019.356623011</v>
      </c>
      <c r="C23" s="23">
        <v>6148037.4533769917</v>
      </c>
      <c r="D23" s="23">
        <v>6694128.9399999985</v>
      </c>
      <c r="E23" s="23">
        <v>12842166.393376989</v>
      </c>
      <c r="F23" s="23">
        <v>4080335.66</v>
      </c>
      <c r="G23" s="23">
        <v>545319</v>
      </c>
      <c r="H23" s="23">
        <v>919665</v>
      </c>
      <c r="I23" s="24">
        <v>3890</v>
      </c>
      <c r="J23" s="23">
        <v>0</v>
      </c>
      <c r="K23" s="25">
        <v>22.18154760172121</v>
      </c>
      <c r="L23" s="25">
        <v>6.6850836482599556</v>
      </c>
      <c r="M23" s="24">
        <v>1720.855768637532</v>
      </c>
    </row>
    <row r="24" spans="1:13" ht="13.95" customHeight="1" x14ac:dyDescent="0.3">
      <c r="A24" s="26" t="s">
        <v>105</v>
      </c>
      <c r="B24" s="27">
        <v>11466564.7320008</v>
      </c>
      <c r="C24" s="27">
        <v>5566305.8279991997</v>
      </c>
      <c r="D24" s="27">
        <v>5578170.7499999991</v>
      </c>
      <c r="E24" s="27">
        <v>11144476.577999201</v>
      </c>
      <c r="F24" s="27">
        <v>3768111.52</v>
      </c>
      <c r="G24" s="27">
        <v>535253</v>
      </c>
      <c r="H24" s="27">
        <v>813777</v>
      </c>
      <c r="I24" s="28">
        <v>3236</v>
      </c>
      <c r="J24" s="27">
        <v>0</v>
      </c>
      <c r="K24" s="29">
        <v>21.422700539746248</v>
      </c>
      <c r="L24" s="29">
        <v>6.8400874293561991</v>
      </c>
      <c r="M24" s="28">
        <v>1723.785769468479</v>
      </c>
    </row>
    <row r="25" spans="1:13" ht="13.95" customHeight="1" x14ac:dyDescent="0.3">
      <c r="A25" s="22" t="s">
        <v>106</v>
      </c>
      <c r="B25" s="23">
        <v>10002954.441131931</v>
      </c>
      <c r="C25" s="23">
        <v>5603191.7788680689</v>
      </c>
      <c r="D25" s="23">
        <v>5613347.2199999988</v>
      </c>
      <c r="E25" s="23">
        <v>11216538.998868071</v>
      </c>
      <c r="F25" s="23">
        <v>3379328.1399999992</v>
      </c>
      <c r="G25" s="23">
        <v>465383.48503137898</v>
      </c>
      <c r="H25" s="23">
        <v>866416.63214974804</v>
      </c>
      <c r="I25" s="24">
        <v>3105.072000000001</v>
      </c>
      <c r="J25" s="23">
        <v>0</v>
      </c>
      <c r="K25" s="25">
        <v>21.49400389757594</v>
      </c>
      <c r="L25" s="25">
        <v>6.4670870467542398</v>
      </c>
      <c r="M25" s="24">
        <v>1807.7993747004889</v>
      </c>
    </row>
    <row r="26" spans="1:13" ht="13.95" customHeight="1" x14ac:dyDescent="0.3">
      <c r="A26" s="26" t="s">
        <v>107</v>
      </c>
      <c r="B26" s="27">
        <v>12315443.64052413</v>
      </c>
      <c r="C26" s="27">
        <v>5815425.9794758707</v>
      </c>
      <c r="D26" s="27">
        <v>6112151.620000001</v>
      </c>
      <c r="E26" s="27">
        <v>11927577.59947587</v>
      </c>
      <c r="F26" s="27">
        <v>3701787.59</v>
      </c>
      <c r="G26" s="27">
        <v>0</v>
      </c>
      <c r="H26" s="27">
        <v>2116.1199269235399</v>
      </c>
      <c r="I26" s="28">
        <v>3494</v>
      </c>
      <c r="J26" s="27">
        <v>0</v>
      </c>
      <c r="K26" s="29">
        <v>0</v>
      </c>
      <c r="L26" s="29">
        <v>0</v>
      </c>
      <c r="M26" s="28">
        <v>1749.3278820835719</v>
      </c>
    </row>
    <row r="27" spans="1:13" ht="13.95" customHeight="1" x14ac:dyDescent="0.3">
      <c r="A27" s="22" t="s">
        <v>108</v>
      </c>
      <c r="B27" s="23">
        <v>11393503.185235079</v>
      </c>
      <c r="C27" s="23">
        <v>5231112.2547649182</v>
      </c>
      <c r="D27" s="23">
        <v>5120137.21</v>
      </c>
      <c r="E27" s="23">
        <v>10351249.464764919</v>
      </c>
      <c r="F27" s="23">
        <v>3743543.2800000012</v>
      </c>
      <c r="G27" s="23">
        <v>574000</v>
      </c>
      <c r="H27" s="23">
        <v>794000</v>
      </c>
      <c r="I27" s="24">
        <v>2856</v>
      </c>
      <c r="J27" s="23">
        <v>0</v>
      </c>
      <c r="K27" s="25">
        <v>19.84930868507854</v>
      </c>
      <c r="L27" s="25">
        <v>6.5883025878651367</v>
      </c>
      <c r="M27" s="24">
        <v>1792.765129551821</v>
      </c>
    </row>
    <row r="28" spans="1:13" ht="13.95" customHeight="1" x14ac:dyDescent="0.3">
      <c r="A28" s="26" t="s">
        <v>109</v>
      </c>
      <c r="B28" s="27">
        <v>12057790.19250939</v>
      </c>
      <c r="C28" s="27">
        <v>5578318.4031083994</v>
      </c>
      <c r="D28" s="27">
        <v>5365016.8070575576</v>
      </c>
      <c r="E28" s="27">
        <v>10943335.210165961</v>
      </c>
      <c r="F28" s="27">
        <v>3664233.4270383432</v>
      </c>
      <c r="G28" s="27">
        <v>575000</v>
      </c>
      <c r="H28" s="27">
        <v>925000</v>
      </c>
      <c r="I28" s="28">
        <v>3013</v>
      </c>
      <c r="J28" s="27">
        <v>0</v>
      </c>
      <c r="K28" s="29">
        <v>20.970069900016341</v>
      </c>
      <c r="L28" s="29">
        <v>6.0306144898469194</v>
      </c>
      <c r="M28" s="28">
        <v>1780.622903105728</v>
      </c>
    </row>
    <row r="29" spans="1:13" ht="13.95" customHeight="1" x14ac:dyDescent="0.3">
      <c r="A29" s="22" t="s">
        <v>110</v>
      </c>
      <c r="B29" s="23">
        <v>13132658.628579989</v>
      </c>
      <c r="C29" s="23">
        <v>4520146.55</v>
      </c>
      <c r="D29" s="23">
        <v>4071660.66</v>
      </c>
      <c r="E29" s="23">
        <v>8591807.2100000009</v>
      </c>
      <c r="F29" s="23">
        <v>4021697.64</v>
      </c>
      <c r="G29" s="23">
        <v>628000</v>
      </c>
      <c r="H29" s="23">
        <v>667000</v>
      </c>
      <c r="I29" s="24">
        <v>2257</v>
      </c>
      <c r="J29" s="23">
        <v>0</v>
      </c>
      <c r="K29" s="25">
        <v>20.9118767971019</v>
      </c>
      <c r="L29" s="25">
        <v>6.7768314092953519</v>
      </c>
      <c r="M29" s="24">
        <v>1804.0144705361099</v>
      </c>
    </row>
    <row r="30" spans="1:13" ht="13.95" customHeight="1" x14ac:dyDescent="0.3">
      <c r="A30" s="26" t="s">
        <v>111</v>
      </c>
      <c r="B30" s="27">
        <v>6531960.0027798964</v>
      </c>
      <c r="C30" s="27">
        <v>5537290.2426267918</v>
      </c>
      <c r="D30" s="27">
        <v>5046505.4250716837</v>
      </c>
      <c r="E30" s="27">
        <v>10583795.66769848</v>
      </c>
      <c r="F30" s="27">
        <v>2649239.146774407</v>
      </c>
      <c r="G30" s="27">
        <v>275000</v>
      </c>
      <c r="H30" s="27">
        <v>897000</v>
      </c>
      <c r="I30" s="28">
        <v>2934</v>
      </c>
      <c r="J30" s="27">
        <v>0</v>
      </c>
      <c r="K30" s="29">
        <v>23.752581828290531</v>
      </c>
      <c r="L30" s="29">
        <v>6.1731217866519419</v>
      </c>
      <c r="M30" s="28">
        <v>1720.008665668604</v>
      </c>
    </row>
    <row r="31" spans="1:13" ht="13.95" customHeight="1" x14ac:dyDescent="0.3">
      <c r="A31" s="22" t="s">
        <v>112</v>
      </c>
      <c r="B31" s="23">
        <v>13320567.788358459</v>
      </c>
      <c r="C31" s="23">
        <v>5018161.8516415358</v>
      </c>
      <c r="D31" s="23">
        <v>4587239.53</v>
      </c>
      <c r="E31" s="23">
        <v>9605401.381641537</v>
      </c>
      <c r="F31" s="23">
        <v>3878417.67</v>
      </c>
      <c r="G31" s="23">
        <v>610000</v>
      </c>
      <c r="H31" s="23">
        <v>760000</v>
      </c>
      <c r="I31" s="24">
        <v>2577</v>
      </c>
      <c r="J31" s="23">
        <v>0</v>
      </c>
      <c r="K31" s="25">
        <v>21.83699637435814</v>
      </c>
      <c r="L31" s="25">
        <v>6.6028445416335986</v>
      </c>
      <c r="M31" s="24">
        <v>1780.069666278619</v>
      </c>
    </row>
    <row r="32" spans="1:13" ht="13.95" customHeight="1" x14ac:dyDescent="0.3">
      <c r="A32" s="26" t="s">
        <v>113</v>
      </c>
      <c r="B32" s="27">
        <v>12333056.88049555</v>
      </c>
      <c r="C32" s="27">
        <v>5263802.9295044458</v>
      </c>
      <c r="D32" s="27">
        <v>4621338.3000000007</v>
      </c>
      <c r="E32" s="27">
        <v>9885141.2295044474</v>
      </c>
      <c r="F32" s="27">
        <v>3538735.2400000012</v>
      </c>
      <c r="G32" s="27">
        <v>560000</v>
      </c>
      <c r="H32" s="27">
        <v>824000</v>
      </c>
      <c r="I32" s="28">
        <v>2603</v>
      </c>
      <c r="J32" s="27">
        <v>0</v>
      </c>
      <c r="K32" s="29">
        <v>22.023315858027779</v>
      </c>
      <c r="L32" s="29">
        <v>6.3881103513403472</v>
      </c>
      <c r="M32" s="28">
        <v>1775.389281598156</v>
      </c>
    </row>
    <row r="33" spans="1:13" ht="13.95" customHeight="1" x14ac:dyDescent="0.3">
      <c r="A33" s="22" t="s">
        <v>114</v>
      </c>
      <c r="B33" s="23">
        <v>10683131.909836849</v>
      </c>
      <c r="C33" s="23">
        <v>5437633.4504401442</v>
      </c>
      <c r="D33" s="23">
        <v>5263228.0560052702</v>
      </c>
      <c r="E33" s="23">
        <v>10700861.506445421</v>
      </c>
      <c r="F33" s="23">
        <v>3366330.7916893018</v>
      </c>
      <c r="G33" s="23">
        <v>473000</v>
      </c>
      <c r="H33" s="23">
        <v>847000</v>
      </c>
      <c r="I33" s="24">
        <v>2970</v>
      </c>
      <c r="J33" s="23">
        <v>0</v>
      </c>
      <c r="K33" s="25">
        <v>22.585902557794611</v>
      </c>
      <c r="L33" s="25">
        <v>6.4198742035893082</v>
      </c>
      <c r="M33" s="24">
        <v>1772.130658587633</v>
      </c>
    </row>
    <row r="34" spans="1:13" ht="13.95" customHeight="1" x14ac:dyDescent="0.3">
      <c r="A34" s="26" t="s">
        <v>115</v>
      </c>
      <c r="B34" s="27">
        <v>13424470.666834461</v>
      </c>
      <c r="C34" s="27">
        <v>4906510.5789800528</v>
      </c>
      <c r="D34" s="27">
        <v>4779757.7494399995</v>
      </c>
      <c r="E34" s="27">
        <v>9686268.3284200523</v>
      </c>
      <c r="F34" s="27">
        <v>3645492.014</v>
      </c>
      <c r="G34" s="27">
        <v>615000</v>
      </c>
      <c r="H34" s="27">
        <v>774000</v>
      </c>
      <c r="I34" s="28">
        <v>2645</v>
      </c>
      <c r="J34" s="27">
        <v>0</v>
      </c>
      <c r="K34" s="29">
        <v>21.828407588348711</v>
      </c>
      <c r="L34" s="29">
        <v>6.3391609547545906</v>
      </c>
      <c r="M34" s="28">
        <v>1807.0917767258979</v>
      </c>
    </row>
    <row r="35" spans="1:13" ht="13.95" customHeight="1" x14ac:dyDescent="0.3">
      <c r="A35" s="22" t="s">
        <v>116</v>
      </c>
      <c r="B35" s="23">
        <v>12262511.98928782</v>
      </c>
      <c r="C35" s="23">
        <v>5241561.5918796044</v>
      </c>
      <c r="D35" s="23">
        <v>5022165.0228784122</v>
      </c>
      <c r="E35" s="23">
        <v>10263726.61475802</v>
      </c>
      <c r="F35" s="23">
        <v>3537225.5346891172</v>
      </c>
      <c r="G35" s="23">
        <v>548000</v>
      </c>
      <c r="H35" s="23">
        <v>820000</v>
      </c>
      <c r="I35" s="24">
        <v>2805</v>
      </c>
      <c r="J35" s="23">
        <v>0</v>
      </c>
      <c r="K35" s="25">
        <v>22.376846695780699</v>
      </c>
      <c r="L35" s="25">
        <v>6.3921482827800054</v>
      </c>
      <c r="M35" s="24">
        <v>1790.4331632365111</v>
      </c>
    </row>
    <row r="36" spans="1:13" ht="13.95" customHeight="1" x14ac:dyDescent="0.3">
      <c r="A36" s="26" t="s">
        <v>117</v>
      </c>
      <c r="B36" s="27">
        <v>13830337.815743171</v>
      </c>
      <c r="C36" s="27">
        <v>5035425.7604646077</v>
      </c>
      <c r="D36" s="27">
        <v>4371379.6801200006</v>
      </c>
      <c r="E36" s="27">
        <v>9406805.4405846074</v>
      </c>
      <c r="F36" s="27">
        <v>3688951.8498</v>
      </c>
      <c r="G36" s="27">
        <v>632000</v>
      </c>
      <c r="H36" s="27">
        <v>792000</v>
      </c>
      <c r="I36" s="28">
        <v>2622</v>
      </c>
      <c r="J36" s="27">
        <v>0</v>
      </c>
      <c r="K36" s="29">
        <v>21.88344591098603</v>
      </c>
      <c r="L36" s="29">
        <v>6.357860808667434</v>
      </c>
      <c r="M36" s="28">
        <v>1667.192860457666</v>
      </c>
    </row>
    <row r="37" spans="1:13" ht="13.95" customHeight="1" x14ac:dyDescent="0.3">
      <c r="A37" s="22" t="s">
        <v>118</v>
      </c>
      <c r="B37" s="23">
        <v>13286005.1522184</v>
      </c>
      <c r="C37" s="23">
        <v>5384796.2836316032</v>
      </c>
      <c r="D37" s="23">
        <v>4951089.2359999996</v>
      </c>
      <c r="E37" s="23">
        <v>10335885.5196316</v>
      </c>
      <c r="F37" s="23">
        <v>3655622.1431</v>
      </c>
      <c r="G37" s="23">
        <v>574000</v>
      </c>
      <c r="H37" s="23">
        <v>880000</v>
      </c>
      <c r="I37" s="24">
        <v>2939</v>
      </c>
      <c r="J37" s="23">
        <v>0</v>
      </c>
      <c r="K37" s="25">
        <v>23.14635043940488</v>
      </c>
      <c r="L37" s="25">
        <v>6.1190866859450033</v>
      </c>
      <c r="M37" s="24">
        <v>1684.6169567880229</v>
      </c>
    </row>
    <row r="38" spans="1:13" ht="13.95" customHeight="1" x14ac:dyDescent="0.3">
      <c r="A38" s="26" t="s">
        <v>119</v>
      </c>
      <c r="B38" s="27">
        <v>13548032.428908451</v>
      </c>
      <c r="C38" s="27">
        <v>5614942.9273558501</v>
      </c>
      <c r="D38" s="27">
        <v>5361484.6740999985</v>
      </c>
      <c r="E38" s="27">
        <v>10976427.601455851</v>
      </c>
      <c r="F38" s="27">
        <v>3692430.4501</v>
      </c>
      <c r="G38" s="27">
        <v>604000</v>
      </c>
      <c r="H38" s="27">
        <v>934000</v>
      </c>
      <c r="I38" s="28">
        <v>3004</v>
      </c>
      <c r="J38" s="27">
        <v>0</v>
      </c>
      <c r="K38" s="29">
        <v>22.430517266404721</v>
      </c>
      <c r="L38" s="29">
        <v>6.0117161963124737</v>
      </c>
      <c r="M38" s="28">
        <v>1784.7818489014639</v>
      </c>
    </row>
    <row r="39" spans="1:13" ht="13.95" customHeight="1" x14ac:dyDescent="0.3">
      <c r="A39" s="22" t="s">
        <v>120</v>
      </c>
      <c r="B39" s="23">
        <v>11517384.867817931</v>
      </c>
      <c r="C39" s="23">
        <v>5723991.2945430679</v>
      </c>
      <c r="D39" s="23">
        <v>5258484.6084999992</v>
      </c>
      <c r="E39" s="23">
        <v>10982475.903043071</v>
      </c>
      <c r="F39" s="23">
        <v>3478761.2586999992</v>
      </c>
      <c r="G39" s="23">
        <v>507000</v>
      </c>
      <c r="H39" s="23">
        <v>989000</v>
      </c>
      <c r="I39" s="24">
        <v>3069</v>
      </c>
      <c r="J39" s="23">
        <v>595000</v>
      </c>
      <c r="K39" s="25">
        <v>22.716735439483099</v>
      </c>
      <c r="L39" s="25">
        <v>5.7876555050991589</v>
      </c>
      <c r="M39" s="24">
        <v>1713.419553111763</v>
      </c>
    </row>
    <row r="40" spans="1:13" ht="13.95" customHeight="1" x14ac:dyDescent="0.3">
      <c r="A40" s="26" t="s">
        <v>121</v>
      </c>
      <c r="B40" s="27">
        <v>12591985.67009417</v>
      </c>
      <c r="C40" s="27">
        <v>4154023.6894859029</v>
      </c>
      <c r="D40" s="27">
        <v>3451258.8556053359</v>
      </c>
      <c r="E40" s="27">
        <v>7605282.5450912397</v>
      </c>
      <c r="F40" s="27">
        <v>3322668.4880404752</v>
      </c>
      <c r="G40" s="27">
        <v>568000</v>
      </c>
      <c r="H40" s="27">
        <v>664000</v>
      </c>
      <c r="I40" s="28">
        <v>2052</v>
      </c>
      <c r="J40" s="27">
        <v>573000</v>
      </c>
      <c r="K40" s="29">
        <v>22.16898885579959</v>
      </c>
      <c r="L40" s="29">
        <v>6.2560597733221437</v>
      </c>
      <c r="M40" s="28">
        <v>1681.9000270981171</v>
      </c>
    </row>
    <row r="41" spans="1:13" ht="13.95" customHeight="1" x14ac:dyDescent="0.3">
      <c r="A41" s="22" t="s">
        <v>122</v>
      </c>
      <c r="B41" s="23">
        <v>13268736.127328379</v>
      </c>
      <c r="C41" s="23">
        <v>5489010.1130082328</v>
      </c>
      <c r="D41" s="23">
        <v>5206200.5820110496</v>
      </c>
      <c r="E41" s="23">
        <v>10695210.695019281</v>
      </c>
      <c r="F41" s="23">
        <v>3962786.5058460389</v>
      </c>
      <c r="G41" s="23">
        <v>611000</v>
      </c>
      <c r="H41" s="23">
        <v>958000</v>
      </c>
      <c r="I41" s="24">
        <v>3068</v>
      </c>
      <c r="J41" s="23">
        <v>667000</v>
      </c>
      <c r="K41" s="25">
        <v>21.716425740308321</v>
      </c>
      <c r="L41" s="25">
        <v>5.729655650321746</v>
      </c>
      <c r="M41" s="24">
        <v>1696.936304436457</v>
      </c>
    </row>
    <row r="42" spans="1:13" ht="13.95" customHeight="1" x14ac:dyDescent="0.3">
      <c r="A42" s="26" t="s">
        <v>123</v>
      </c>
      <c r="B42" s="27">
        <v>11367090.605715711</v>
      </c>
      <c r="C42" s="27">
        <v>5475476.8690744117</v>
      </c>
      <c r="D42" s="27">
        <v>5438126.2089385008</v>
      </c>
      <c r="E42" s="27">
        <v>10913603.07801291</v>
      </c>
      <c r="F42" s="27">
        <v>3553353.9844049709</v>
      </c>
      <c r="G42" s="27">
        <v>503000</v>
      </c>
      <c r="H42" s="27">
        <v>984000</v>
      </c>
      <c r="I42" s="28">
        <v>2986</v>
      </c>
      <c r="J42" s="27">
        <v>597000</v>
      </c>
      <c r="K42" s="29">
        <v>22.598589673391071</v>
      </c>
      <c r="L42" s="29">
        <v>5.5645090132870036</v>
      </c>
      <c r="M42" s="28">
        <v>1821.2077056056601</v>
      </c>
    </row>
    <row r="43" spans="1:13" ht="13.95" customHeight="1" x14ac:dyDescent="0.3">
      <c r="A43" s="22" t="s">
        <v>124</v>
      </c>
      <c r="B43" s="23">
        <v>13911014.558089349</v>
      </c>
      <c r="C43" s="23">
        <v>4900151.0913496222</v>
      </c>
      <c r="D43" s="23">
        <v>5535453.6525680842</v>
      </c>
      <c r="E43" s="23">
        <v>10435604.743917709</v>
      </c>
      <c r="F43" s="23">
        <v>3761289.7012026319</v>
      </c>
      <c r="G43" s="23">
        <v>604000</v>
      </c>
      <c r="H43" s="23">
        <v>863000</v>
      </c>
      <c r="I43" s="24">
        <v>3059</v>
      </c>
      <c r="J43" s="23">
        <v>648000</v>
      </c>
      <c r="K43" s="25">
        <v>23.031481056439311</v>
      </c>
      <c r="L43" s="25">
        <v>5.6780429795476506</v>
      </c>
      <c r="M43" s="24">
        <v>1809.5631423890441</v>
      </c>
    </row>
    <row r="44" spans="1:13" ht="13.95" customHeight="1" x14ac:dyDescent="0.3">
      <c r="A44" s="26" t="s">
        <v>125</v>
      </c>
      <c r="B44" s="27">
        <v>13571888.22058065</v>
      </c>
      <c r="C44" s="27">
        <v>5357958.2811353486</v>
      </c>
      <c r="D44" s="27">
        <v>5566875.0758300005</v>
      </c>
      <c r="E44" s="27">
        <v>10924833.35696535</v>
      </c>
      <c r="F44" s="27">
        <v>3724073.0970000001</v>
      </c>
      <c r="G44" s="27">
        <v>579000</v>
      </c>
      <c r="H44" s="27">
        <v>972000</v>
      </c>
      <c r="I44" s="28">
        <v>3194</v>
      </c>
      <c r="J44" s="27">
        <v>635000</v>
      </c>
      <c r="K44" s="29">
        <v>23.440221451780051</v>
      </c>
      <c r="L44" s="29">
        <v>5.5123027583697004</v>
      </c>
      <c r="M44" s="28">
        <v>1742.916429502191</v>
      </c>
    </row>
    <row r="45" spans="1:13" ht="13.95" customHeight="1" x14ac:dyDescent="0.3">
      <c r="A45" s="22" t="s">
        <v>126</v>
      </c>
      <c r="B45" s="23">
        <v>14121231.994301541</v>
      </c>
      <c r="C45" s="23">
        <v>5710983.8373184679</v>
      </c>
      <c r="D45" s="23">
        <v>6291134.0174000002</v>
      </c>
      <c r="E45" s="23">
        <v>12002117.854718469</v>
      </c>
      <c r="F45" s="23">
        <v>3895928.512099999</v>
      </c>
      <c r="G45" s="23">
        <v>612000</v>
      </c>
      <c r="H45" s="23">
        <v>1039000</v>
      </c>
      <c r="I45" s="24">
        <v>3503</v>
      </c>
      <c r="J45" s="23">
        <v>666000</v>
      </c>
      <c r="K45" s="25">
        <v>23.073908487420809</v>
      </c>
      <c r="L45" s="25">
        <v>5.4966158203257631</v>
      </c>
      <c r="M45" s="24">
        <v>1795.9274956894089</v>
      </c>
    </row>
    <row r="46" spans="1:13" ht="13.95" customHeight="1" x14ac:dyDescent="0.3">
      <c r="A46" s="26" t="s">
        <v>127</v>
      </c>
      <c r="B46" s="27">
        <v>12879590.78020858</v>
      </c>
      <c r="C46" s="27">
        <v>5585659.7327114176</v>
      </c>
      <c r="D46" s="27">
        <v>6926564.5445999997</v>
      </c>
      <c r="E46" s="27">
        <v>12512224.27731142</v>
      </c>
      <c r="F46" s="27">
        <v>3590236.3915999988</v>
      </c>
      <c r="G46" s="27">
        <v>556000</v>
      </c>
      <c r="H46" s="27">
        <v>1018000</v>
      </c>
      <c r="I46" s="28">
        <v>3889</v>
      </c>
      <c r="J46" s="27">
        <v>615000</v>
      </c>
      <c r="K46" s="29">
        <v>23.164731619080179</v>
      </c>
      <c r="L46" s="29">
        <v>5.4868956117008034</v>
      </c>
      <c r="M46" s="28">
        <v>1781.065709591154</v>
      </c>
    </row>
    <row r="47" spans="1:13" ht="13.95" customHeight="1" x14ac:dyDescent="0.3">
      <c r="A47" s="22" t="s">
        <v>128</v>
      </c>
      <c r="B47" s="23">
        <v>14040308.523309501</v>
      </c>
      <c r="C47" s="23">
        <v>5616994.5589105003</v>
      </c>
      <c r="D47" s="23">
        <v>7305363.7006000001</v>
      </c>
      <c r="E47" s="23">
        <v>12922358.2595105</v>
      </c>
      <c r="F47" s="23">
        <v>3848481.2689999989</v>
      </c>
      <c r="G47" s="23">
        <v>625000</v>
      </c>
      <c r="H47" s="23">
        <v>1013000</v>
      </c>
      <c r="I47" s="24">
        <v>4017</v>
      </c>
      <c r="J47" s="23">
        <v>654000</v>
      </c>
      <c r="K47" s="25">
        <v>22.46449363729521</v>
      </c>
      <c r="L47" s="25">
        <v>5.5449107195562686</v>
      </c>
      <c r="M47" s="24">
        <v>1818.6118248942</v>
      </c>
    </row>
    <row r="48" spans="1:13" ht="13.95" customHeight="1" x14ac:dyDescent="0.3">
      <c r="A48" s="26" t="s">
        <v>129</v>
      </c>
      <c r="B48" s="27">
        <v>12349019.66149928</v>
      </c>
      <c r="C48" s="27">
        <v>4868344.0451850714</v>
      </c>
      <c r="D48" s="27">
        <v>6272912.4156826008</v>
      </c>
      <c r="E48" s="27">
        <v>11141256.460867669</v>
      </c>
      <c r="F48" s="27">
        <v>3584103.5955187371</v>
      </c>
      <c r="G48" s="27">
        <v>528000</v>
      </c>
      <c r="H48" s="27">
        <v>860000</v>
      </c>
      <c r="I48" s="28">
        <v>3498</v>
      </c>
      <c r="J48" s="27">
        <v>626000</v>
      </c>
      <c r="K48" s="29">
        <v>23.388294813445619</v>
      </c>
      <c r="L48" s="29">
        <v>5.6608651688198508</v>
      </c>
      <c r="M48" s="28">
        <v>1793.285424723442</v>
      </c>
    </row>
    <row r="49" spans="1:13" ht="13.95" customHeight="1" x14ac:dyDescent="0.3">
      <c r="A49" s="22" t="s">
        <v>130</v>
      </c>
      <c r="B49" s="23">
        <v>14061901.189999999</v>
      </c>
      <c r="C49" s="23">
        <v>5564918.2400000012</v>
      </c>
      <c r="D49" s="23">
        <v>7166938.5499999998</v>
      </c>
      <c r="E49" s="23">
        <v>12731856.789999999</v>
      </c>
      <c r="F49" s="23">
        <v>3729801.97</v>
      </c>
      <c r="G49" s="23">
        <v>593000</v>
      </c>
      <c r="H49" s="23">
        <v>986000</v>
      </c>
      <c r="I49" s="24">
        <v>3981</v>
      </c>
      <c r="J49" s="23">
        <v>634000</v>
      </c>
      <c r="K49" s="25">
        <v>23.713155463743679</v>
      </c>
      <c r="L49" s="25">
        <v>5.6439333062880337</v>
      </c>
      <c r="M49" s="24">
        <v>1800.2859959809091</v>
      </c>
    </row>
    <row r="50" spans="1:13" ht="13.95" customHeight="1" x14ac:dyDescent="0.3">
      <c r="A50" s="26" t="s">
        <v>131</v>
      </c>
      <c r="B50" s="27">
        <v>13451455.33</v>
      </c>
      <c r="C50" s="27">
        <v>5587174.1400000006</v>
      </c>
      <c r="D50" s="27">
        <v>7122635.9199999999</v>
      </c>
      <c r="E50" s="27">
        <v>12709810.060000001</v>
      </c>
      <c r="F50" s="27">
        <v>3933400.29</v>
      </c>
      <c r="G50" s="27">
        <v>609000</v>
      </c>
      <c r="H50" s="27">
        <v>1003000</v>
      </c>
      <c r="I50" s="28">
        <v>3947</v>
      </c>
      <c r="J50" s="27">
        <v>661000</v>
      </c>
      <c r="K50" s="29">
        <v>22.08777558292282</v>
      </c>
      <c r="L50" s="29">
        <v>5.570462751744766</v>
      </c>
      <c r="M50" s="28">
        <v>1804.5695262224469</v>
      </c>
    </row>
    <row r="51" spans="1:13" ht="13.95" customHeight="1" x14ac:dyDescent="0.3">
      <c r="A51" s="22" t="s">
        <v>132</v>
      </c>
      <c r="B51" s="23">
        <v>12396473.733778881</v>
      </c>
      <c r="C51" s="23">
        <v>5777090.1252461215</v>
      </c>
      <c r="D51" s="23">
        <v>6831523.0921</v>
      </c>
      <c r="E51" s="23">
        <v>12608613.217346121</v>
      </c>
      <c r="F51" s="23">
        <v>3663690.1661</v>
      </c>
      <c r="G51" s="23">
        <v>524000</v>
      </c>
      <c r="H51" s="23">
        <v>1035000</v>
      </c>
      <c r="I51" s="24">
        <v>3803</v>
      </c>
      <c r="J51" s="23">
        <v>638000</v>
      </c>
      <c r="K51" s="25">
        <v>23.65739262171541</v>
      </c>
      <c r="L51" s="25">
        <v>5.5817295896097798</v>
      </c>
      <c r="M51" s="24">
        <v>1796.3510628714171</v>
      </c>
    </row>
    <row r="52" spans="1:13" ht="13.95" customHeight="1" x14ac:dyDescent="0.3">
      <c r="A52" s="26" t="s">
        <v>133</v>
      </c>
      <c r="B52" s="27">
        <v>12676405.918080799</v>
      </c>
      <c r="C52" s="27">
        <v>5152522.6265621958</v>
      </c>
      <c r="D52" s="27">
        <v>6233443.1226000004</v>
      </c>
      <c r="E52" s="27">
        <v>11385965.749162201</v>
      </c>
      <c r="F52" s="27">
        <v>3678997.2568999999</v>
      </c>
      <c r="G52" s="27">
        <v>543000</v>
      </c>
      <c r="H52" s="27">
        <v>923000</v>
      </c>
      <c r="I52" s="28">
        <v>3453</v>
      </c>
      <c r="J52" s="27">
        <v>609000</v>
      </c>
      <c r="K52" s="29">
        <v>23.345130604200371</v>
      </c>
      <c r="L52" s="29">
        <v>5.582364709168143</v>
      </c>
      <c r="M52" s="28">
        <v>1805.225346828845</v>
      </c>
    </row>
    <row r="53" spans="1:13" ht="13.95" customHeight="1" x14ac:dyDescent="0.3">
      <c r="A53" s="22" t="s">
        <v>134</v>
      </c>
      <c r="B53" s="23">
        <v>14221436.74321115</v>
      </c>
      <c r="C53" s="23">
        <v>4967566.1999583514</v>
      </c>
      <c r="D53" s="23">
        <v>5880073.4755500006</v>
      </c>
      <c r="E53" s="23">
        <v>10847639.67550835</v>
      </c>
      <c r="F53" s="23">
        <v>4124462.0756999999</v>
      </c>
      <c r="G53" s="23">
        <v>620000</v>
      </c>
      <c r="H53" s="23">
        <v>842000</v>
      </c>
      <c r="I53" s="24">
        <v>3269</v>
      </c>
      <c r="J53" s="23">
        <v>682000</v>
      </c>
      <c r="K53" s="25">
        <v>22.937801198727659</v>
      </c>
      <c r="L53" s="25">
        <v>5.8997223277415101</v>
      </c>
      <c r="M53" s="24">
        <v>1798.7376798868161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/>
  </sheetViews>
  <sheetFormatPr baseColWidth="10" defaultColWidth="8.88671875" defaultRowHeight="14.4" x14ac:dyDescent="0.3"/>
  <cols>
    <col min="1" max="1" width="28" customWidth="1"/>
    <col min="2" max="13" width="8" customWidth="1"/>
  </cols>
  <sheetData>
    <row r="1" spans="1:13" ht="25.05" customHeight="1" x14ac:dyDescent="0.3">
      <c r="A1" s="64" t="s">
        <v>135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ht="43.95" customHeight="1" x14ac:dyDescent="0.3">
      <c r="A2" s="5" t="s">
        <v>136</v>
      </c>
      <c r="B2" s="5" t="s">
        <v>137</v>
      </c>
      <c r="C2" s="5" t="s">
        <v>138</v>
      </c>
      <c r="D2" s="5" t="s">
        <v>139</v>
      </c>
      <c r="E2" s="5" t="s">
        <v>140</v>
      </c>
      <c r="F2" s="5" t="s">
        <v>141</v>
      </c>
      <c r="G2" s="5" t="s">
        <v>142</v>
      </c>
      <c r="H2" s="5" t="s">
        <v>143</v>
      </c>
      <c r="I2" s="5" t="s">
        <v>144</v>
      </c>
      <c r="J2" s="5" t="s">
        <v>145</v>
      </c>
      <c r="K2" s="5" t="s">
        <v>146</v>
      </c>
    </row>
    <row r="3" spans="1:13" x14ac:dyDescent="0.3">
      <c r="A3" s="30" t="s">
        <v>147</v>
      </c>
      <c r="B3" s="30" t="s">
        <v>148</v>
      </c>
      <c r="C3" s="30" t="s">
        <v>77</v>
      </c>
      <c r="D3" s="30" t="s">
        <v>149</v>
      </c>
      <c r="E3" s="31">
        <v>22.90034174971688</v>
      </c>
      <c r="F3" s="31">
        <v>18.85684325082461</v>
      </c>
      <c r="G3" s="32">
        <v>0.1406194398948713</v>
      </c>
      <c r="H3" s="33">
        <v>0.57102912093721281</v>
      </c>
      <c r="I3" s="30" t="s">
        <v>150</v>
      </c>
      <c r="J3" s="33">
        <v>5.4814138089247733E-2</v>
      </c>
      <c r="K3" s="34" t="s">
        <v>151</v>
      </c>
    </row>
    <row r="4" spans="1:13" x14ac:dyDescent="0.3">
      <c r="A4" s="35" t="s">
        <v>152</v>
      </c>
      <c r="B4" s="35" t="s">
        <v>153</v>
      </c>
      <c r="C4" s="35" t="s">
        <v>154</v>
      </c>
      <c r="D4" s="35" t="s">
        <v>155</v>
      </c>
      <c r="E4" s="36">
        <v>6.526302069748974</v>
      </c>
      <c r="F4" s="36">
        <v>5.6663817123268228</v>
      </c>
      <c r="G4" s="37">
        <v>-0.4734046523732709</v>
      </c>
      <c r="H4" s="38">
        <v>5.9446602324688428E-3</v>
      </c>
      <c r="I4" s="35" t="s">
        <v>156</v>
      </c>
      <c r="J4" s="38">
        <v>0.1242867338504258</v>
      </c>
      <c r="K4" s="39" t="s">
        <v>157</v>
      </c>
    </row>
    <row r="5" spans="1:13" x14ac:dyDescent="0.3">
      <c r="A5" s="30" t="s">
        <v>158</v>
      </c>
      <c r="B5" s="30" t="s">
        <v>159</v>
      </c>
      <c r="C5" s="30" t="s">
        <v>160</v>
      </c>
      <c r="D5" s="30" t="s">
        <v>155</v>
      </c>
      <c r="E5" s="31">
        <v>1773.910364447954</v>
      </c>
      <c r="F5" s="31">
        <v>1583.8332174347829</v>
      </c>
      <c r="G5" s="32">
        <v>4.5331003675790047</v>
      </c>
      <c r="H5" s="33">
        <v>0.47752963681381322</v>
      </c>
      <c r="I5" s="30" t="s">
        <v>150</v>
      </c>
      <c r="J5" s="33">
        <v>6.0956847100549161E-2</v>
      </c>
      <c r="K5" s="40" t="s">
        <v>161</v>
      </c>
    </row>
    <row r="6" spans="1:13" x14ac:dyDescent="0.3">
      <c r="A6" s="30" t="s">
        <v>162</v>
      </c>
      <c r="B6" s="30" t="s">
        <v>163</v>
      </c>
      <c r="C6" s="30" t="s">
        <v>80</v>
      </c>
      <c r="D6" s="30" t="s">
        <v>164</v>
      </c>
      <c r="E6" s="31">
        <v>5.877997469141115</v>
      </c>
      <c r="F6" s="31">
        <v>5.4391348494293927</v>
      </c>
      <c r="G6" s="32">
        <v>4.9787683309403967E-2</v>
      </c>
      <c r="H6" s="33">
        <v>0</v>
      </c>
      <c r="I6" s="30" t="s">
        <v>165</v>
      </c>
      <c r="J6" s="33">
        <v>4.5812272773894658E-2</v>
      </c>
      <c r="K6" s="34" t="s">
        <v>166</v>
      </c>
    </row>
    <row r="9" spans="1:13" x14ac:dyDescent="0.3">
      <c r="A9" s="66" t="s">
        <v>167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8"/>
    </row>
    <row r="10" spans="1:13" x14ac:dyDescent="0.3">
      <c r="A10" s="41" t="s">
        <v>168</v>
      </c>
      <c r="B10" s="41" t="s">
        <v>169</v>
      </c>
      <c r="C10" s="41" t="s">
        <v>170</v>
      </c>
      <c r="D10" s="41" t="s">
        <v>171</v>
      </c>
      <c r="E10" s="41" t="s">
        <v>172</v>
      </c>
      <c r="F10" s="41" t="s">
        <v>173</v>
      </c>
      <c r="G10" s="41" t="s">
        <v>174</v>
      </c>
      <c r="H10" s="41" t="s">
        <v>175</v>
      </c>
      <c r="I10" s="41" t="s">
        <v>176</v>
      </c>
      <c r="J10" s="41" t="s">
        <v>177</v>
      </c>
      <c r="K10" s="41" t="s">
        <v>178</v>
      </c>
      <c r="L10" s="41" t="s">
        <v>179</v>
      </c>
      <c r="M10" s="41" t="s">
        <v>180</v>
      </c>
    </row>
    <row r="11" spans="1:13" x14ac:dyDescent="0.3">
      <c r="A11" s="42" t="s">
        <v>147</v>
      </c>
      <c r="B11" s="43">
        <v>0.9919</v>
      </c>
      <c r="C11" s="43">
        <v>0.99350000000000005</v>
      </c>
      <c r="D11" s="43">
        <v>0.98380000000000001</v>
      </c>
      <c r="E11" s="43">
        <v>1.0029999999999999</v>
      </c>
      <c r="F11" s="44">
        <v>0.97009999999999996</v>
      </c>
      <c r="G11" s="43">
        <v>0.99419999999999997</v>
      </c>
      <c r="H11" s="43">
        <v>1.0173000000000001</v>
      </c>
      <c r="I11" s="43">
        <v>1.0147999999999999</v>
      </c>
      <c r="J11" s="38">
        <v>1.0248999999999999</v>
      </c>
      <c r="K11" s="38">
        <v>1.0225</v>
      </c>
      <c r="L11" s="43">
        <v>1.004</v>
      </c>
      <c r="M11" s="44">
        <v>0.97989999999999999</v>
      </c>
    </row>
    <row r="12" spans="1:13" x14ac:dyDescent="0.3">
      <c r="A12" s="42" t="s">
        <v>152</v>
      </c>
      <c r="B12" s="43">
        <v>0.99060000000000004</v>
      </c>
      <c r="C12" s="44">
        <v>0.97670000000000001</v>
      </c>
      <c r="D12" s="38">
        <v>1.0409999999999999</v>
      </c>
      <c r="E12" s="38">
        <v>1.0222</v>
      </c>
      <c r="F12" s="38">
        <v>1.0305</v>
      </c>
      <c r="G12" s="38">
        <v>1.0531999999999999</v>
      </c>
      <c r="H12" s="43">
        <v>1.0182</v>
      </c>
      <c r="I12" s="43">
        <v>1.0143</v>
      </c>
      <c r="J12" s="44">
        <v>0.9778</v>
      </c>
      <c r="K12" s="43">
        <v>0.99339999999999995</v>
      </c>
      <c r="L12" s="44">
        <v>0.95299999999999996</v>
      </c>
      <c r="M12" s="44">
        <v>0.92889999999999995</v>
      </c>
    </row>
    <row r="13" spans="1:13" x14ac:dyDescent="0.3">
      <c r="A13" s="42" t="s">
        <v>158</v>
      </c>
      <c r="B13" s="43">
        <v>1.0018</v>
      </c>
      <c r="C13" s="43">
        <v>0.99809999999999999</v>
      </c>
      <c r="D13" s="43">
        <v>0.99050000000000005</v>
      </c>
      <c r="E13" s="43">
        <v>0.99170000000000003</v>
      </c>
      <c r="F13" s="43">
        <v>1.0154000000000001</v>
      </c>
      <c r="G13" s="43">
        <v>0.99880000000000002</v>
      </c>
      <c r="H13" s="43">
        <v>1.0029999999999999</v>
      </c>
      <c r="I13" s="38">
        <v>1.034</v>
      </c>
      <c r="J13" s="43">
        <v>1.0005999999999999</v>
      </c>
      <c r="K13" s="44">
        <v>0.97309999999999997</v>
      </c>
      <c r="L13" s="43">
        <v>0.99739999999999995</v>
      </c>
      <c r="M13" s="43">
        <v>0.99560000000000004</v>
      </c>
    </row>
    <row r="14" spans="1:13" x14ac:dyDescent="0.3">
      <c r="A14" s="42" t="s">
        <v>162</v>
      </c>
      <c r="B14" s="43">
        <v>0.9869</v>
      </c>
      <c r="C14" s="43">
        <v>1.0082</v>
      </c>
      <c r="D14" s="38">
        <v>1.0208999999999999</v>
      </c>
      <c r="E14" s="43">
        <v>1.0137</v>
      </c>
      <c r="F14" s="43">
        <v>0.98850000000000005</v>
      </c>
      <c r="G14" s="43">
        <v>0.99880000000000002</v>
      </c>
      <c r="H14" s="43">
        <v>0.99629999999999996</v>
      </c>
      <c r="I14" s="43">
        <v>0.99419999999999997</v>
      </c>
      <c r="J14" s="43">
        <v>1.0022</v>
      </c>
      <c r="K14" s="44">
        <v>0.97509999999999997</v>
      </c>
      <c r="L14" s="43">
        <v>1.0019</v>
      </c>
      <c r="M14" s="43">
        <v>1.0134000000000001</v>
      </c>
    </row>
    <row r="17" spans="1:11" x14ac:dyDescent="0.3">
      <c r="A17" s="66" t="s">
        <v>181</v>
      </c>
      <c r="B17" s="67"/>
      <c r="C17" s="67"/>
      <c r="D17" s="67"/>
      <c r="E17" s="67"/>
      <c r="F17" s="67"/>
      <c r="G17" s="67"/>
      <c r="H17" s="67"/>
      <c r="I17" s="67"/>
      <c r="J17" s="67"/>
      <c r="K17" s="68"/>
    </row>
    <row r="18" spans="1:11" x14ac:dyDescent="0.3">
      <c r="A18" s="65" t="s">
        <v>182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</row>
    <row r="19" spans="1:11" x14ac:dyDescent="0.3">
      <c r="A19" s="65" t="s">
        <v>183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</row>
    <row r="20" spans="1:11" x14ac:dyDescent="0.3">
      <c r="A20" s="65" t="s">
        <v>184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</row>
    <row r="21" spans="1:11" x14ac:dyDescent="0.3">
      <c r="A21" s="65" t="s">
        <v>185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</row>
  </sheetData>
  <mergeCells count="7">
    <mergeCell ref="A1:K1"/>
    <mergeCell ref="A17:K17"/>
    <mergeCell ref="A18:K18"/>
    <mergeCell ref="A20:K20"/>
    <mergeCell ref="A21:K21"/>
    <mergeCell ref="A9:M9"/>
    <mergeCell ref="A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2" width="13" customWidth="1"/>
  </cols>
  <sheetData>
    <row r="1" spans="1:12" ht="25.05" customHeight="1" x14ac:dyDescent="0.3">
      <c r="A1" s="64" t="s">
        <v>186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43.95" customHeight="1" x14ac:dyDescent="0.3">
      <c r="A2" s="4" t="s">
        <v>6</v>
      </c>
      <c r="B2" s="4" t="s">
        <v>187</v>
      </c>
      <c r="C2" s="4" t="s">
        <v>188</v>
      </c>
      <c r="D2" s="4" t="s">
        <v>189</v>
      </c>
      <c r="E2" s="4" t="s">
        <v>190</v>
      </c>
      <c r="F2" s="4" t="s">
        <v>191</v>
      </c>
      <c r="G2" s="4" t="s">
        <v>192</v>
      </c>
      <c r="H2" s="4" t="s">
        <v>193</v>
      </c>
      <c r="I2" s="4" t="s">
        <v>194</v>
      </c>
      <c r="J2" s="4" t="s">
        <v>195</v>
      </c>
      <c r="K2" s="4" t="s">
        <v>196</v>
      </c>
      <c r="L2" s="4" t="s">
        <v>197</v>
      </c>
    </row>
    <row r="3" spans="1:12" ht="15" customHeight="1" x14ac:dyDescent="0.3">
      <c r="A3" s="17">
        <v>2026</v>
      </c>
      <c r="B3" s="45">
        <v>119.03384158713369</v>
      </c>
      <c r="C3" s="45">
        <v>48.345106665722788</v>
      </c>
      <c r="D3" s="45">
        <v>60.639437430888592</v>
      </c>
      <c r="E3" s="45">
        <v>108.9845440966114</v>
      </c>
      <c r="F3" s="45">
        <v>36.001051078563037</v>
      </c>
      <c r="G3" s="45">
        <v>264.01943676230809</v>
      </c>
      <c r="H3" s="45">
        <v>5.1839250000583919</v>
      </c>
      <c r="I3" s="45">
        <v>8.5319184481609032</v>
      </c>
      <c r="J3" s="45">
        <v>34.143990353445773</v>
      </c>
      <c r="K3" s="46"/>
      <c r="L3" s="47">
        <v>50.930412141250919</v>
      </c>
    </row>
    <row r="4" spans="1:12" ht="15" customHeight="1" x14ac:dyDescent="0.3">
      <c r="A4" s="17">
        <v>2027</v>
      </c>
      <c r="B4" s="45">
        <v>158.0001804743892</v>
      </c>
      <c r="C4" s="45">
        <v>65.250929474512233</v>
      </c>
      <c r="D4" s="45">
        <v>80.82597528877038</v>
      </c>
      <c r="E4" s="45">
        <v>146.07690476328261</v>
      </c>
      <c r="F4" s="45">
        <v>47.074709471219677</v>
      </c>
      <c r="G4" s="45">
        <v>351.15179470889149</v>
      </c>
      <c r="H4" s="45">
        <v>6.8961747433599134</v>
      </c>
      <c r="I4" s="45">
        <v>11.51544897382457</v>
      </c>
      <c r="J4" s="45">
        <v>45.554462501406462</v>
      </c>
      <c r="K4" s="46">
        <v>0.33002251279335582</v>
      </c>
      <c r="L4" s="47">
        <v>50.919793621384578</v>
      </c>
    </row>
    <row r="5" spans="1:12" ht="15" customHeight="1" x14ac:dyDescent="0.3">
      <c r="A5" s="48">
        <v>2028</v>
      </c>
      <c r="B5" s="49">
        <v>173.27280441003501</v>
      </c>
      <c r="C5" s="49">
        <v>71.99971500170787</v>
      </c>
      <c r="D5" s="49">
        <v>83.847804596606693</v>
      </c>
      <c r="E5" s="49">
        <v>155.84751959831459</v>
      </c>
      <c r="F5" s="49">
        <v>35.773931453881481</v>
      </c>
      <c r="G5" s="49">
        <v>364.89425546223111</v>
      </c>
      <c r="H5" s="49">
        <v>7.5731566337831131</v>
      </c>
      <c r="I5" s="49">
        <v>12.706471017488539</v>
      </c>
      <c r="J5" s="49">
        <v>47.278145764984536</v>
      </c>
      <c r="K5" s="50">
        <v>3.9135385210638418E-2</v>
      </c>
      <c r="L5" s="51">
        <v>48.182583974887478</v>
      </c>
    </row>
    <row r="6" spans="1:12" ht="15" customHeight="1" x14ac:dyDescent="0.3">
      <c r="A6" s="48">
        <v>2029</v>
      </c>
      <c r="B6" s="49">
        <v>160.41168259327691</v>
      </c>
      <c r="C6" s="49">
        <v>68.491857438953119</v>
      </c>
      <c r="D6" s="49">
        <v>71.360444747307085</v>
      </c>
      <c r="E6" s="49">
        <v>139.8523021862602</v>
      </c>
      <c r="F6" s="49">
        <v>42.33166290144009</v>
      </c>
      <c r="G6" s="49">
        <v>342.59564768097721</v>
      </c>
      <c r="H6" s="49">
        <v>7.0041699859878914</v>
      </c>
      <c r="I6" s="49">
        <v>12.08740619961303</v>
      </c>
      <c r="J6" s="49">
        <v>40.227274600444737</v>
      </c>
      <c r="K6" s="50">
        <v>-6.1109780292394562E-2</v>
      </c>
      <c r="L6" s="51">
        <v>48.913097250117133</v>
      </c>
    </row>
    <row r="7" spans="1:12" ht="15" customHeight="1" x14ac:dyDescent="0.3">
      <c r="A7" s="52">
        <v>2030</v>
      </c>
      <c r="B7" s="53">
        <v>164.01952601834631</v>
      </c>
      <c r="C7" s="53">
        <v>68.388577437736544</v>
      </c>
      <c r="D7" s="53">
        <v>91.861786616782609</v>
      </c>
      <c r="E7" s="53">
        <v>160.25036405451911</v>
      </c>
      <c r="F7" s="53">
        <v>51.936383394510898</v>
      </c>
      <c r="G7" s="53">
        <v>376.20627346737638</v>
      </c>
      <c r="H7" s="53">
        <v>7.162317829618158</v>
      </c>
      <c r="I7" s="53">
        <v>12.06917940049148</v>
      </c>
      <c r="J7" s="53">
        <v>51.784908898353621</v>
      </c>
      <c r="K7" s="54">
        <v>9.8105816620581043E-2</v>
      </c>
      <c r="L7" s="29">
        <v>52.525772021964698</v>
      </c>
    </row>
    <row r="8" spans="1:12" ht="15" customHeight="1" x14ac:dyDescent="0.3">
      <c r="A8" s="55">
        <v>2031</v>
      </c>
      <c r="B8" s="56">
        <v>164.19384506170931</v>
      </c>
      <c r="C8" s="56">
        <v>68.319724098788214</v>
      </c>
      <c r="D8" s="56">
        <v>51.608839975906903</v>
      </c>
      <c r="E8" s="56">
        <v>119.9285640746951</v>
      </c>
      <c r="F8" s="56">
        <v>47.343321906227487</v>
      </c>
      <c r="G8" s="56">
        <v>331.46573104263189</v>
      </c>
      <c r="H8" s="56">
        <v>7.1699299013185778</v>
      </c>
      <c r="I8" s="56">
        <v>12.05702820022932</v>
      </c>
      <c r="J8" s="56">
        <v>29.093262551610209</v>
      </c>
      <c r="K8" s="57">
        <v>-0.11892556179987319</v>
      </c>
      <c r="L8" s="25">
        <v>46.229982106474147</v>
      </c>
    </row>
    <row r="9" spans="1:12" ht="15" customHeight="1" x14ac:dyDescent="0.3">
      <c r="A9" s="52">
        <v>2032</v>
      </c>
      <c r="B9" s="53">
        <v>165.70670511719669</v>
      </c>
      <c r="C9" s="53">
        <v>68.577924114735623</v>
      </c>
      <c r="D9" s="53">
        <v>55.102764529240297</v>
      </c>
      <c r="E9" s="53">
        <v>123.6806886439759</v>
      </c>
      <c r="F9" s="53">
        <v>47.304676091418557</v>
      </c>
      <c r="G9" s="53">
        <v>336.69206985259109</v>
      </c>
      <c r="H9" s="53">
        <v>7.2359926733078241</v>
      </c>
      <c r="I9" s="53">
        <v>12.102595200310819</v>
      </c>
      <c r="J9" s="53">
        <v>31.062879857736451</v>
      </c>
      <c r="K9" s="54">
        <v>1.5767357891024458E-2</v>
      </c>
      <c r="L9" s="29">
        <v>46.530183908917287</v>
      </c>
    </row>
    <row r="10" spans="1:12" ht="15" customHeight="1" x14ac:dyDescent="0.3">
      <c r="A10" s="55">
        <v>2033</v>
      </c>
      <c r="B10" s="56">
        <v>160.8412027954742</v>
      </c>
      <c r="C10" s="56">
        <v>68.354150747554016</v>
      </c>
      <c r="D10" s="56">
        <v>45.144105730294378</v>
      </c>
      <c r="E10" s="56">
        <v>113.4982564778484</v>
      </c>
      <c r="F10" s="56">
        <v>44.167275962862988</v>
      </c>
      <c r="G10" s="56">
        <v>318.50673523618548</v>
      </c>
      <c r="H10" s="56">
        <v>7.0235284937379889</v>
      </c>
      <c r="I10" s="56">
        <v>12.0631037967058</v>
      </c>
      <c r="J10" s="56">
        <v>25.448921566193871</v>
      </c>
      <c r="K10" s="57">
        <v>-5.4011769936747722E-2</v>
      </c>
      <c r="L10" s="25">
        <v>45.348536069891161</v>
      </c>
    </row>
    <row r="11" spans="1:12" ht="15" customHeight="1" x14ac:dyDescent="0.3">
      <c r="A11" s="52">
        <v>2034</v>
      </c>
      <c r="B11" s="53">
        <v>165.01179026026179</v>
      </c>
      <c r="C11" s="53">
        <v>68.354150766220215</v>
      </c>
      <c r="D11" s="53">
        <v>45.131374831826612</v>
      </c>
      <c r="E11" s="53">
        <v>113.48552559804681</v>
      </c>
      <c r="F11" s="53">
        <v>44.754430384295077</v>
      </c>
      <c r="G11" s="53">
        <v>323.25174624260359</v>
      </c>
      <c r="H11" s="53">
        <v>7.2056474992257176</v>
      </c>
      <c r="I11" s="53">
        <v>12.0631038</v>
      </c>
      <c r="J11" s="53">
        <v>25.441744823375899</v>
      </c>
      <c r="K11" s="54">
        <v>1.489767870340164E-2</v>
      </c>
      <c r="L11" s="29">
        <v>44.860888112739161</v>
      </c>
    </row>
    <row r="12" spans="1:12" ht="15" customHeight="1" x14ac:dyDescent="0.3">
      <c r="A12" s="55">
        <v>2035</v>
      </c>
      <c r="B12" s="56">
        <v>164.9219423207233</v>
      </c>
      <c r="C12" s="56">
        <v>29.809571129402212</v>
      </c>
      <c r="D12" s="56">
        <v>19.682007795229641</v>
      </c>
      <c r="E12" s="56">
        <v>49.491578924631852</v>
      </c>
      <c r="F12" s="56">
        <v>38.699174660812233</v>
      </c>
      <c r="G12" s="56">
        <v>253.1126959061674</v>
      </c>
      <c r="H12" s="56">
        <v>7.2017240669677891</v>
      </c>
      <c r="I12" s="56">
        <v>5.260777096</v>
      </c>
      <c r="J12" s="56">
        <v>11.095266248897939</v>
      </c>
      <c r="K12" s="57">
        <v>-0.21697964868470099</v>
      </c>
      <c r="L12" s="25">
        <v>35.146125226752517</v>
      </c>
    </row>
    <row r="13" spans="1:12" ht="15" customHeight="1" x14ac:dyDescent="0.3">
      <c r="A13" s="52">
        <v>2036</v>
      </c>
      <c r="B13" s="53">
        <v>165.76030842367089</v>
      </c>
      <c r="C13" s="53">
        <v>0</v>
      </c>
      <c r="D13" s="53">
        <v>0</v>
      </c>
      <c r="E13" s="53">
        <v>0</v>
      </c>
      <c r="F13" s="53">
        <v>32.753499898557827</v>
      </c>
      <c r="G13" s="53">
        <v>198.5138083222287</v>
      </c>
      <c r="H13" s="53">
        <v>7.2383333941171504</v>
      </c>
      <c r="I13" s="53">
        <v>0</v>
      </c>
      <c r="J13" s="53">
        <v>0</v>
      </c>
      <c r="K13" s="54">
        <v>-0.21570979436045079</v>
      </c>
      <c r="L13" s="29">
        <v>27.42534745409322</v>
      </c>
    </row>
    <row r="14" spans="1:12" ht="15" customHeight="1" x14ac:dyDescent="0.3">
      <c r="A14" s="55">
        <v>2037</v>
      </c>
      <c r="B14" s="56">
        <v>157.60454042717751</v>
      </c>
      <c r="C14" s="56">
        <v>0</v>
      </c>
      <c r="D14" s="56">
        <v>0</v>
      </c>
      <c r="E14" s="56">
        <v>0</v>
      </c>
      <c r="F14" s="56">
        <v>31.470121226153751</v>
      </c>
      <c r="G14" s="56">
        <v>189.0746616533313</v>
      </c>
      <c r="H14" s="56">
        <v>6.8821916349403827</v>
      </c>
      <c r="I14" s="56">
        <v>0</v>
      </c>
      <c r="J14" s="56">
        <v>0</v>
      </c>
      <c r="K14" s="57">
        <v>-4.7549068493894057E-2</v>
      </c>
      <c r="L14" s="25">
        <v>27.47303063945693</v>
      </c>
    </row>
    <row r="15" spans="1:12" ht="15" customHeight="1" x14ac:dyDescent="0.3">
      <c r="A15" s="52">
        <v>2038</v>
      </c>
      <c r="B15" s="53">
        <v>160.76014867448859</v>
      </c>
      <c r="C15" s="53">
        <v>0</v>
      </c>
      <c r="D15" s="53">
        <v>0</v>
      </c>
      <c r="E15" s="53">
        <v>0</v>
      </c>
      <c r="F15" s="53">
        <v>31.960434004453081</v>
      </c>
      <c r="G15" s="53">
        <v>192.7205826789417</v>
      </c>
      <c r="H15" s="53">
        <v>7.019989065293144</v>
      </c>
      <c r="I15" s="53">
        <v>0</v>
      </c>
      <c r="J15" s="53">
        <v>0</v>
      </c>
      <c r="K15" s="54">
        <v>1.9282969985132899E-2</v>
      </c>
      <c r="L15" s="29">
        <v>27.45311721805281</v>
      </c>
    </row>
    <row r="16" spans="1:12" ht="15" customHeight="1" x14ac:dyDescent="0.3">
      <c r="A16" s="55">
        <v>2039</v>
      </c>
      <c r="B16" s="56">
        <v>163.15993137047661</v>
      </c>
      <c r="C16" s="56">
        <v>0</v>
      </c>
      <c r="D16" s="56">
        <v>0</v>
      </c>
      <c r="E16" s="56">
        <v>0</v>
      </c>
      <c r="F16" s="56">
        <v>32.505945150234943</v>
      </c>
      <c r="G16" s="56">
        <v>195.66587652071149</v>
      </c>
      <c r="H16" s="56">
        <v>7.1247815056076043</v>
      </c>
      <c r="I16" s="56">
        <v>0</v>
      </c>
      <c r="J16" s="56">
        <v>0</v>
      </c>
      <c r="K16" s="57">
        <v>1.5282715529541861E-2</v>
      </c>
      <c r="L16" s="25">
        <v>27.462719574868569</v>
      </c>
    </row>
    <row r="17" spans="1:12" ht="15" customHeight="1" x14ac:dyDescent="0.3">
      <c r="A17" s="52">
        <v>2040</v>
      </c>
      <c r="B17" s="53">
        <v>166.22374021601351</v>
      </c>
      <c r="C17" s="53">
        <v>0</v>
      </c>
      <c r="D17" s="53">
        <v>0</v>
      </c>
      <c r="E17" s="53">
        <v>0</v>
      </c>
      <c r="F17" s="53">
        <v>32.885449243674429</v>
      </c>
      <c r="G17" s="53">
        <v>199.10918945968791</v>
      </c>
      <c r="H17" s="53">
        <v>7.2585702882826402</v>
      </c>
      <c r="I17" s="53">
        <v>0</v>
      </c>
      <c r="J17" s="53">
        <v>0</v>
      </c>
      <c r="K17" s="54">
        <v>1.75979225412457E-2</v>
      </c>
      <c r="L17" s="29">
        <v>27.43091015886499</v>
      </c>
    </row>
    <row r="18" spans="1:12" ht="15" customHeight="1" x14ac:dyDescent="0.3">
      <c r="A18" s="55">
        <v>2041</v>
      </c>
      <c r="B18" s="56">
        <v>165.61087127971479</v>
      </c>
      <c r="C18" s="56">
        <v>0</v>
      </c>
      <c r="D18" s="56">
        <v>0</v>
      </c>
      <c r="E18" s="56">
        <v>0</v>
      </c>
      <c r="F18" s="56">
        <v>32.944742989395863</v>
      </c>
      <c r="G18" s="56">
        <v>198.55561426911061</v>
      </c>
      <c r="H18" s="56">
        <v>7.2318078520274574</v>
      </c>
      <c r="I18" s="56">
        <v>0</v>
      </c>
      <c r="J18" s="56">
        <v>0</v>
      </c>
      <c r="K18" s="57">
        <v>-2.7802593746650839E-3</v>
      </c>
      <c r="L18" s="25">
        <v>27.455875257173069</v>
      </c>
    </row>
    <row r="19" spans="1:12" ht="15" customHeight="1" x14ac:dyDescent="0.3">
      <c r="A19" s="52">
        <v>2042</v>
      </c>
      <c r="B19" s="53">
        <v>164.0680715832618</v>
      </c>
      <c r="C19" s="53">
        <v>0</v>
      </c>
      <c r="D19" s="53">
        <v>0</v>
      </c>
      <c r="E19" s="53">
        <v>0</v>
      </c>
      <c r="F19" s="53">
        <v>32.151008757540112</v>
      </c>
      <c r="G19" s="53">
        <v>196.2190803408019</v>
      </c>
      <c r="H19" s="53">
        <v>7.1644376916466843</v>
      </c>
      <c r="I19" s="53">
        <v>0</v>
      </c>
      <c r="J19" s="53">
        <v>0</v>
      </c>
      <c r="K19" s="54">
        <v>-1.176765480497521E-2</v>
      </c>
      <c r="L19" s="29">
        <v>27.387924745243009</v>
      </c>
    </row>
    <row r="20" spans="1:12" ht="15" customHeight="1" x14ac:dyDescent="0.3">
      <c r="A20" s="55">
        <v>2043</v>
      </c>
      <c r="B20" s="56">
        <v>162.2943493698329</v>
      </c>
      <c r="C20" s="56">
        <v>0</v>
      </c>
      <c r="D20" s="56">
        <v>0</v>
      </c>
      <c r="E20" s="56">
        <v>0</v>
      </c>
      <c r="F20" s="56">
        <v>30.890035348391901</v>
      </c>
      <c r="G20" s="56">
        <v>193.18438471822481</v>
      </c>
      <c r="H20" s="56">
        <v>7.0869837290458504</v>
      </c>
      <c r="I20" s="56">
        <v>0</v>
      </c>
      <c r="J20" s="56">
        <v>0</v>
      </c>
      <c r="K20" s="57">
        <v>-1.5465853867556169E-2</v>
      </c>
      <c r="L20" s="25">
        <v>27.259041660623939</v>
      </c>
    </row>
    <row r="21" spans="1:12" ht="15" customHeight="1" x14ac:dyDescent="0.3">
      <c r="A21" s="52">
        <v>2044</v>
      </c>
      <c r="B21" s="53">
        <v>162.29434937546671</v>
      </c>
      <c r="C21" s="53">
        <v>0</v>
      </c>
      <c r="D21" s="53">
        <v>0</v>
      </c>
      <c r="E21" s="53">
        <v>0</v>
      </c>
      <c r="F21" s="53">
        <v>30.99738162739834</v>
      </c>
      <c r="G21" s="53">
        <v>193.29173100286499</v>
      </c>
      <c r="H21" s="53">
        <v>7.0869837292918598</v>
      </c>
      <c r="I21" s="53">
        <v>0</v>
      </c>
      <c r="J21" s="53">
        <v>0</v>
      </c>
      <c r="K21" s="54">
        <v>5.5566750281976773E-4</v>
      </c>
      <c r="L21" s="29">
        <v>27.27418862328599</v>
      </c>
    </row>
    <row r="22" spans="1:12" ht="15" customHeight="1" x14ac:dyDescent="0.3">
      <c r="A22" s="55">
        <v>2045</v>
      </c>
      <c r="B22" s="56">
        <v>26.028064234634751</v>
      </c>
      <c r="C22" s="56">
        <v>0</v>
      </c>
      <c r="D22" s="56">
        <v>0</v>
      </c>
      <c r="E22" s="56">
        <v>0</v>
      </c>
      <c r="F22" s="56">
        <v>11.44275566975924</v>
      </c>
      <c r="G22" s="56">
        <v>37.470819904393991</v>
      </c>
      <c r="H22" s="56">
        <v>1.136579729643403</v>
      </c>
      <c r="I22" s="56">
        <v>0</v>
      </c>
      <c r="J22" s="56">
        <v>0</v>
      </c>
      <c r="K22" s="57">
        <v>-0.80614369942272079</v>
      </c>
      <c r="L22" s="25">
        <v>32.968052242274553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7" width="14" customWidth="1"/>
    <col min="8" max="8" width="28" customWidth="1"/>
  </cols>
  <sheetData>
    <row r="1" spans="1:8" ht="25.05" customHeight="1" x14ac:dyDescent="0.3">
      <c r="A1" s="64" t="s">
        <v>198</v>
      </c>
      <c r="B1" s="62"/>
      <c r="C1" s="62"/>
      <c r="D1" s="62"/>
      <c r="E1" s="62"/>
      <c r="F1" s="62"/>
      <c r="G1" s="62"/>
      <c r="H1" s="62"/>
    </row>
    <row r="2" spans="1:8" ht="40.049999999999997" customHeight="1" x14ac:dyDescent="0.3">
      <c r="A2" s="5" t="s">
        <v>6</v>
      </c>
      <c r="B2" s="5" t="s">
        <v>199</v>
      </c>
      <c r="C2" s="5" t="s">
        <v>200</v>
      </c>
      <c r="D2" s="5" t="s">
        <v>201</v>
      </c>
      <c r="E2" s="5" t="s">
        <v>202</v>
      </c>
      <c r="F2" s="5" t="s">
        <v>203</v>
      </c>
      <c r="G2" s="5" t="s">
        <v>204</v>
      </c>
      <c r="H2" s="5" t="s">
        <v>205</v>
      </c>
    </row>
    <row r="3" spans="1:8" ht="15" customHeight="1" x14ac:dyDescent="0.3">
      <c r="A3" s="17">
        <v>2026</v>
      </c>
      <c r="B3" s="45">
        <v>259.80463260518059</v>
      </c>
      <c r="C3" s="45">
        <v>264.01943676230809</v>
      </c>
      <c r="D3" s="58">
        <v>4.214804157127503</v>
      </c>
      <c r="E3" s="46">
        <v>1.622297537524147E-2</v>
      </c>
      <c r="F3" s="45">
        <v>117.45398195524839</v>
      </c>
      <c r="G3" s="45">
        <v>119.03384158713369</v>
      </c>
      <c r="H3" s="59" t="s">
        <v>206</v>
      </c>
    </row>
    <row r="4" spans="1:8" ht="15" customHeight="1" x14ac:dyDescent="0.3">
      <c r="A4" s="17">
        <v>2027</v>
      </c>
      <c r="B4" s="45">
        <v>344.67998097163121</v>
      </c>
      <c r="C4" s="45">
        <v>351.15179470889149</v>
      </c>
      <c r="D4" s="58">
        <v>6.4718137372602769</v>
      </c>
      <c r="E4" s="46">
        <v>1.8776297129344852E-2</v>
      </c>
      <c r="F4" s="45">
        <v>155.90314568467059</v>
      </c>
      <c r="G4" s="45">
        <v>158.0001804743892</v>
      </c>
      <c r="H4" s="59" t="s">
        <v>206</v>
      </c>
    </row>
    <row r="5" spans="1:8" ht="15" customHeight="1" x14ac:dyDescent="0.3">
      <c r="A5" s="17">
        <v>2028</v>
      </c>
      <c r="B5" s="45">
        <v>357.78015402082622</v>
      </c>
      <c r="C5" s="45">
        <v>364.89425546223111</v>
      </c>
      <c r="D5" s="58">
        <v>7.1141014414048414</v>
      </c>
      <c r="E5" s="46">
        <v>1.988400240050971E-2</v>
      </c>
      <c r="F5" s="45">
        <v>170.9730659042373</v>
      </c>
      <c r="G5" s="45">
        <v>173.27280441003509</v>
      </c>
      <c r="H5" s="59" t="s">
        <v>206</v>
      </c>
    </row>
    <row r="6" spans="1:8" ht="15" customHeight="1" x14ac:dyDescent="0.3">
      <c r="A6" s="17">
        <v>2029</v>
      </c>
      <c r="B6" s="45">
        <v>336.46360000298853</v>
      </c>
      <c r="C6" s="45">
        <v>342.59564768097721</v>
      </c>
      <c r="D6" s="58">
        <v>6.1320476779886803</v>
      </c>
      <c r="E6" s="46">
        <v>1.8224995743772031E-2</v>
      </c>
      <c r="F6" s="45">
        <v>158.28264148670729</v>
      </c>
      <c r="G6" s="45">
        <v>160.41168259327691</v>
      </c>
      <c r="H6" s="59" t="s">
        <v>206</v>
      </c>
    </row>
    <row r="7" spans="1:8" ht="15" customHeight="1" x14ac:dyDescent="0.3">
      <c r="A7" s="17">
        <v>2030</v>
      </c>
      <c r="B7" s="45">
        <v>370.80986484069427</v>
      </c>
      <c r="C7" s="45">
        <v>376.20627346737638</v>
      </c>
      <c r="D7" s="58">
        <v>5.3964086266821027</v>
      </c>
      <c r="E7" s="46">
        <v>1.455303415134461E-2</v>
      </c>
      <c r="F7" s="45">
        <v>161.84260032610391</v>
      </c>
      <c r="G7" s="45">
        <v>164.01952601834631</v>
      </c>
      <c r="H7" s="59" t="s">
        <v>206</v>
      </c>
    </row>
    <row r="8" spans="1:8" ht="15" customHeight="1" x14ac:dyDescent="0.3">
      <c r="A8" s="17">
        <v>2031</v>
      </c>
      <c r="B8" s="45">
        <v>326.27385088399018</v>
      </c>
      <c r="C8" s="45">
        <v>331.46573104263189</v>
      </c>
      <c r="D8" s="58">
        <v>5.1918801586417089</v>
      </c>
      <c r="E8" s="46">
        <v>1.5912645602996031E-2</v>
      </c>
      <c r="F8" s="45">
        <v>162.01460574490429</v>
      </c>
      <c r="G8" s="45">
        <v>164.19384506170931</v>
      </c>
      <c r="H8" s="59" t="s">
        <v>206</v>
      </c>
    </row>
    <row r="9" spans="1:8" ht="15" customHeight="1" x14ac:dyDescent="0.3">
      <c r="A9" s="17">
        <v>2032</v>
      </c>
      <c r="B9" s="45">
        <v>331.85810235200341</v>
      </c>
      <c r="C9" s="45">
        <v>336.69206985259109</v>
      </c>
      <c r="D9" s="58">
        <v>4.8339675005877334</v>
      </c>
      <c r="E9" s="46">
        <v>1.456636877728036E-2</v>
      </c>
      <c r="F9" s="45">
        <v>163.50738658175521</v>
      </c>
      <c r="G9" s="45">
        <v>165.70670511719669</v>
      </c>
      <c r="H9" s="59" t="s">
        <v>206</v>
      </c>
    </row>
    <row r="10" spans="1:8" ht="15" customHeight="1" x14ac:dyDescent="0.3">
      <c r="A10" s="17">
        <v>2033</v>
      </c>
      <c r="B10" s="45">
        <v>313.93982744469059</v>
      </c>
      <c r="C10" s="45">
        <v>318.50673523618548</v>
      </c>
      <c r="D10" s="58">
        <v>4.5669077914949412</v>
      </c>
      <c r="E10" s="46">
        <v>1.454708002061169E-2</v>
      </c>
      <c r="F10" s="45">
        <v>158.70646094347379</v>
      </c>
      <c r="G10" s="45">
        <v>160.8412027954742</v>
      </c>
      <c r="H10" s="59" t="s">
        <v>206</v>
      </c>
    </row>
    <row r="11" spans="1:8" ht="15" customHeight="1" x14ac:dyDescent="0.3">
      <c r="A11" s="17">
        <v>2034</v>
      </c>
      <c r="B11" s="45">
        <v>319.04900877431442</v>
      </c>
      <c r="C11" s="45">
        <v>323.25174624260359</v>
      </c>
      <c r="D11" s="58">
        <v>4.2027374682892287</v>
      </c>
      <c r="E11" s="46">
        <v>1.31727018505239E-2</v>
      </c>
      <c r="F11" s="45">
        <v>162.8216948828352</v>
      </c>
      <c r="G11" s="45">
        <v>165.01179026026179</v>
      </c>
      <c r="H11" s="59" t="s">
        <v>206</v>
      </c>
    </row>
    <row r="12" spans="1:8" ht="15" customHeight="1" x14ac:dyDescent="0.3">
      <c r="A12" s="17">
        <v>2035</v>
      </c>
      <c r="B12" s="45">
        <v>251.85764306242979</v>
      </c>
      <c r="C12" s="45">
        <v>253.1126959061674</v>
      </c>
      <c r="D12" s="58">
        <v>1.255052843737644</v>
      </c>
      <c r="E12" s="46">
        <v>4.9831834701420802E-3</v>
      </c>
      <c r="F12" s="45">
        <v>162.73303943721939</v>
      </c>
      <c r="G12" s="45">
        <v>164.9219423207233</v>
      </c>
      <c r="H12" s="59" t="s">
        <v>206</v>
      </c>
    </row>
    <row r="13" spans="1:8" ht="15" customHeight="1" x14ac:dyDescent="0.3">
      <c r="A13" s="48">
        <v>2036</v>
      </c>
      <c r="B13" s="49">
        <v>199.4022724597269</v>
      </c>
      <c r="C13" s="49">
        <v>198.5138083222287</v>
      </c>
      <c r="D13" s="60">
        <v>-0.88846413749814701</v>
      </c>
      <c r="E13" s="50">
        <v>-4.4556369721292389E-3</v>
      </c>
      <c r="F13" s="49">
        <v>163.56027844601351</v>
      </c>
      <c r="G13" s="49">
        <v>165.76030842367089</v>
      </c>
      <c r="H13" s="16" t="s">
        <v>207</v>
      </c>
    </row>
    <row r="14" spans="1:8" ht="15" customHeight="1" x14ac:dyDescent="0.3">
      <c r="A14" s="48">
        <v>2037</v>
      </c>
      <c r="B14" s="49">
        <v>190.21691327164231</v>
      </c>
      <c r="C14" s="49">
        <v>189.0746616533313</v>
      </c>
      <c r="D14" s="60">
        <v>-1.1422516183110361</v>
      </c>
      <c r="E14" s="50">
        <v>-6.0049950273340057E-3</v>
      </c>
      <c r="F14" s="49">
        <v>155.5127567133799</v>
      </c>
      <c r="G14" s="49">
        <v>157.60454042717751</v>
      </c>
      <c r="H14" s="16" t="s">
        <v>207</v>
      </c>
    </row>
    <row r="15" spans="1:8" ht="15" customHeight="1" x14ac:dyDescent="0.3">
      <c r="A15" s="48">
        <v>2038</v>
      </c>
      <c r="B15" s="49">
        <v>194.1420496172444</v>
      </c>
      <c r="C15" s="49">
        <v>192.7205826789417</v>
      </c>
      <c r="D15" s="60">
        <v>-1.4214669383027001</v>
      </c>
      <c r="E15" s="50">
        <v>-7.3217880469746543E-3</v>
      </c>
      <c r="F15" s="49">
        <v>158.62648260171221</v>
      </c>
      <c r="G15" s="49">
        <v>160.76014867448859</v>
      </c>
      <c r="H15" s="16" t="s">
        <v>207</v>
      </c>
    </row>
    <row r="16" spans="1:8" ht="15" customHeight="1" x14ac:dyDescent="0.3">
      <c r="A16" s="48">
        <v>2039</v>
      </c>
      <c r="B16" s="49">
        <v>197.39150399305839</v>
      </c>
      <c r="C16" s="49">
        <v>195.66587652071149</v>
      </c>
      <c r="D16" s="60">
        <v>-1.7256274723469569</v>
      </c>
      <c r="E16" s="50">
        <v>-8.7421567668264054E-3</v>
      </c>
      <c r="F16" s="49">
        <v>160.99441452521279</v>
      </c>
      <c r="G16" s="49">
        <v>163.15993137047661</v>
      </c>
      <c r="H16" s="16" t="s">
        <v>207</v>
      </c>
    </row>
    <row r="17" spans="1:8" ht="15" customHeight="1" x14ac:dyDescent="0.3">
      <c r="A17" s="48">
        <v>2040</v>
      </c>
      <c r="B17" s="49">
        <v>201.11812734037699</v>
      </c>
      <c r="C17" s="49">
        <v>199.10918945968791</v>
      </c>
      <c r="D17" s="60">
        <v>-2.0089378806891598</v>
      </c>
      <c r="E17" s="50">
        <v>-9.988845397755651E-3</v>
      </c>
      <c r="F17" s="49">
        <v>164.01755940619699</v>
      </c>
      <c r="G17" s="49">
        <v>166.22374021601351</v>
      </c>
      <c r="H17" s="16" t="s">
        <v>207</v>
      </c>
    </row>
    <row r="18" spans="1:8" ht="15" customHeight="1" x14ac:dyDescent="0.3">
      <c r="A18" s="48">
        <v>2041</v>
      </c>
      <c r="B18" s="49">
        <v>200.85933421689541</v>
      </c>
      <c r="C18" s="49">
        <v>198.55561426911061</v>
      </c>
      <c r="D18" s="60">
        <v>-2.3037199477847712</v>
      </c>
      <c r="E18" s="50">
        <v>-1.1469319843991559E-2</v>
      </c>
      <c r="F18" s="49">
        <v>163.41282468517011</v>
      </c>
      <c r="G18" s="49">
        <v>165.61087127971479</v>
      </c>
      <c r="H18" s="16" t="s">
        <v>207</v>
      </c>
    </row>
    <row r="19" spans="1:8" ht="15" customHeight="1" x14ac:dyDescent="0.3">
      <c r="A19" s="48">
        <v>2042</v>
      </c>
      <c r="B19" s="49">
        <v>198.70714104709461</v>
      </c>
      <c r="C19" s="49">
        <v>196.2190803408019</v>
      </c>
      <c r="D19" s="60">
        <v>-2.488060706292714</v>
      </c>
      <c r="E19" s="50">
        <v>-1.252124454703432E-2</v>
      </c>
      <c r="F19" s="49">
        <v>161.89050157695459</v>
      </c>
      <c r="G19" s="49">
        <v>164.0680715832618</v>
      </c>
      <c r="H19" s="16" t="s">
        <v>207</v>
      </c>
    </row>
    <row r="20" spans="1:8" ht="15" customHeight="1" x14ac:dyDescent="0.3">
      <c r="A20" s="48">
        <v>2043</v>
      </c>
      <c r="B20" s="49">
        <v>195.77464337813751</v>
      </c>
      <c r="C20" s="49">
        <v>193.18438471822481</v>
      </c>
      <c r="D20" s="60">
        <v>-2.5902586599126778</v>
      </c>
      <c r="E20" s="50">
        <v>-1.3230817920120579E-2</v>
      </c>
      <c r="F20" s="49">
        <v>160.14032083783101</v>
      </c>
      <c r="G20" s="49">
        <v>162.2943493698329</v>
      </c>
      <c r="H20" s="16" t="s">
        <v>207</v>
      </c>
    </row>
    <row r="21" spans="1:8" ht="15" customHeight="1" x14ac:dyDescent="0.3">
      <c r="A21" s="48">
        <v>2044</v>
      </c>
      <c r="B21" s="49">
        <v>196.16102991564469</v>
      </c>
      <c r="C21" s="49">
        <v>193.29173100286499</v>
      </c>
      <c r="D21" s="60">
        <v>-2.8692989127796689</v>
      </c>
      <c r="E21" s="50">
        <v>-1.462726268318206E-2</v>
      </c>
      <c r="F21" s="49">
        <v>160.1403208433899</v>
      </c>
      <c r="G21" s="49">
        <v>162.29434937546671</v>
      </c>
      <c r="H21" s="16" t="s">
        <v>207</v>
      </c>
    </row>
    <row r="22" spans="1:8" ht="15" customHeight="1" x14ac:dyDescent="0.3">
      <c r="A22" s="48">
        <v>2045</v>
      </c>
      <c r="B22" s="49">
        <v>39.076661353659873</v>
      </c>
      <c r="C22" s="49">
        <v>37.470819904393991</v>
      </c>
      <c r="D22" s="60">
        <v>-1.605841449265881</v>
      </c>
      <c r="E22" s="50">
        <v>-4.1094643033404391E-2</v>
      </c>
      <c r="F22" s="49">
        <v>25.682610476004971</v>
      </c>
      <c r="G22" s="49">
        <v>26.028064234634751</v>
      </c>
      <c r="H22" s="16" t="s">
        <v>207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Proyección Energía</vt:lpstr>
      <vt:lpstr>Datos Históricos</vt:lpstr>
      <vt:lpstr>Parámetros del Modelo</vt:lpstr>
      <vt:lpstr>Resumen Anual</vt:lpstr>
      <vt:lpstr>Comparativa v4 vs 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Cabrera</cp:lastModifiedBy>
  <dcterms:created xsi:type="dcterms:W3CDTF">2026-06-01T18:50:03Z</dcterms:created>
  <dcterms:modified xsi:type="dcterms:W3CDTF">2026-06-02T20:02:24Z</dcterms:modified>
</cp:coreProperties>
</file>